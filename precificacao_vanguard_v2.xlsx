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5FD54B2F-921A-4975-8AB6-27E95DAB9F4E}" xr6:coauthVersionLast="47" xr6:coauthVersionMax="47" xr10:uidLastSave="{00000000-0000-0000-0000-000000000000}"/>
  <bookViews>
    <workbookView xWindow="-120" yWindow="-120" windowWidth="51840" windowHeight="21120" tabRatio="500" xr2:uid="{00000000-000D-0000-FFFF-FFFF00000000}"/>
  </bookViews>
  <sheets>
    <sheet name="Modelo de Pedido" sheetId="1" r:id="rId1"/>
    <sheet name="Portfólio — Margem Real" sheetId="2" r:id="rId2"/>
    <sheet name="Catálogo Adina" sheetId="3" r:id="rId3"/>
  </sheets>
  <definedNames>
    <definedName name="_xlnm._FilterDatabase" localSheetId="2" hidden="1">'Catálogo Adina'!$A$3:$G$144</definedName>
    <definedName name="_xlnm._FilterDatabase" localSheetId="0" hidden="1">'Modelo de Pedido'!$A$29:$G$38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8" i="1" l="1"/>
  <c r="G18" i="1" s="1"/>
  <c r="E148" i="3"/>
  <c r="F148" i="3" s="1"/>
  <c r="E147" i="3"/>
  <c r="F147" i="3" s="1"/>
  <c r="E146" i="3"/>
  <c r="F146" i="3" s="1"/>
  <c r="E145" i="3"/>
  <c r="F145" i="3" s="1"/>
  <c r="C20" i="1"/>
  <c r="C23" i="1" s="1"/>
  <c r="E23" i="1" s="1"/>
  <c r="G23" i="1" s="1"/>
  <c r="E49" i="1"/>
  <c r="E48" i="1"/>
  <c r="E47" i="1"/>
  <c r="E46" i="1"/>
  <c r="E45" i="1"/>
  <c r="E44" i="1"/>
  <c r="E43" i="1"/>
  <c r="E42" i="1"/>
  <c r="C38" i="1"/>
  <c r="C37" i="1"/>
  <c r="C36" i="1"/>
  <c r="C35" i="1"/>
  <c r="C34" i="1"/>
  <c r="C33" i="1"/>
  <c r="C32" i="1"/>
  <c r="C31" i="1"/>
  <c r="E19" i="1"/>
  <c r="G19" i="1" s="1"/>
  <c r="E17" i="1"/>
  <c r="G17" i="1" s="1"/>
  <c r="E16" i="1"/>
  <c r="G16" i="1" s="1"/>
  <c r="E15" i="1"/>
  <c r="G15" i="1" s="1"/>
  <c r="E14" i="1"/>
  <c r="E13" i="1"/>
  <c r="G13" i="1" s="1"/>
  <c r="E12" i="1"/>
  <c r="E11" i="1"/>
  <c r="G11" i="1" s="1"/>
  <c r="E144" i="3"/>
  <c r="F144" i="3" s="1"/>
  <c r="E143" i="3"/>
  <c r="F143" i="3" s="1"/>
  <c r="E142" i="3"/>
  <c r="F142" i="3" s="1"/>
  <c r="E141" i="3"/>
  <c r="F141" i="3" s="1"/>
  <c r="E140" i="3"/>
  <c r="F140" i="3" s="1"/>
  <c r="F139" i="3"/>
  <c r="E139" i="3"/>
  <c r="E138" i="3"/>
  <c r="F138" i="3" s="1"/>
  <c r="E137" i="3"/>
  <c r="F137" i="3" s="1"/>
  <c r="E136" i="3"/>
  <c r="F136" i="3" s="1"/>
  <c r="E135" i="3"/>
  <c r="F135" i="3" s="1"/>
  <c r="E134" i="3"/>
  <c r="F134" i="3" s="1"/>
  <c r="E133" i="3"/>
  <c r="F133" i="3" s="1"/>
  <c r="E132" i="3"/>
  <c r="F132" i="3" s="1"/>
  <c r="E131" i="3"/>
  <c r="F131" i="3" s="1"/>
  <c r="E130" i="3"/>
  <c r="F130" i="3" s="1"/>
  <c r="E129" i="3"/>
  <c r="F129" i="3" s="1"/>
  <c r="E128" i="3"/>
  <c r="F128" i="3" s="1"/>
  <c r="E127" i="3"/>
  <c r="F127" i="3" s="1"/>
  <c r="E126" i="3"/>
  <c r="F126" i="3" s="1"/>
  <c r="E125" i="3"/>
  <c r="F125" i="3" s="1"/>
  <c r="E124" i="3"/>
  <c r="F124" i="3" s="1"/>
  <c r="E123" i="3"/>
  <c r="F123" i="3" s="1"/>
  <c r="E122" i="3"/>
  <c r="F122" i="3" s="1"/>
  <c r="E121" i="3"/>
  <c r="F121" i="3" s="1"/>
  <c r="E120" i="3"/>
  <c r="F120" i="3" s="1"/>
  <c r="E119" i="3"/>
  <c r="F119" i="3" s="1"/>
  <c r="E118" i="3"/>
  <c r="F118" i="3" s="1"/>
  <c r="E117" i="3"/>
  <c r="F117" i="3" s="1"/>
  <c r="E116" i="3"/>
  <c r="F116" i="3" s="1"/>
  <c r="F115" i="3"/>
  <c r="E115" i="3"/>
  <c r="E114" i="3"/>
  <c r="F114" i="3" s="1"/>
  <c r="E113" i="3"/>
  <c r="F113" i="3" s="1"/>
  <c r="E112" i="3"/>
  <c r="F112" i="3" s="1"/>
  <c r="E111" i="3"/>
  <c r="F111" i="3" s="1"/>
  <c r="E110" i="3"/>
  <c r="F110" i="3" s="1"/>
  <c r="E109" i="3"/>
  <c r="F109" i="3" s="1"/>
  <c r="E108" i="3"/>
  <c r="F108" i="3" s="1"/>
  <c r="E107" i="3"/>
  <c r="F107" i="3" s="1"/>
  <c r="E106" i="3"/>
  <c r="F106" i="3" s="1"/>
  <c r="E105" i="3"/>
  <c r="F105" i="3" s="1"/>
  <c r="F104" i="3"/>
  <c r="E104" i="3"/>
  <c r="F103" i="3"/>
  <c r="E103" i="3"/>
  <c r="E102" i="3"/>
  <c r="F102" i="3" s="1"/>
  <c r="E101" i="3"/>
  <c r="F101" i="3" s="1"/>
  <c r="E100" i="3"/>
  <c r="F100" i="3" s="1"/>
  <c r="E99" i="3"/>
  <c r="F99" i="3" s="1"/>
  <c r="F98" i="3"/>
  <c r="E98" i="3"/>
  <c r="E97" i="3"/>
  <c r="F97" i="3" s="1"/>
  <c r="E96" i="3"/>
  <c r="F96" i="3" s="1"/>
  <c r="E95" i="3"/>
  <c r="F95" i="3" s="1"/>
  <c r="E94" i="3"/>
  <c r="F94" i="3" s="1"/>
  <c r="E93" i="3"/>
  <c r="F93" i="3" s="1"/>
  <c r="F92" i="3"/>
  <c r="E92" i="3"/>
  <c r="F91" i="3"/>
  <c r="E91" i="3"/>
  <c r="E90" i="3"/>
  <c r="F90" i="3" s="1"/>
  <c r="E89" i="3"/>
  <c r="F89" i="3" s="1"/>
  <c r="E88" i="3"/>
  <c r="F88" i="3" s="1"/>
  <c r="E87" i="3"/>
  <c r="F87" i="3" s="1"/>
  <c r="E86" i="3"/>
  <c r="F86" i="3" s="1"/>
  <c r="F85" i="3"/>
  <c r="E85" i="3"/>
  <c r="E84" i="3"/>
  <c r="F84" i="3" s="1"/>
  <c r="E83" i="3"/>
  <c r="F83" i="3" s="1"/>
  <c r="E82" i="3"/>
  <c r="F82" i="3" s="1"/>
  <c r="E81" i="3"/>
  <c r="F81" i="3" s="1"/>
  <c r="E80" i="3"/>
  <c r="F80" i="3" s="1"/>
  <c r="E79" i="3"/>
  <c r="F79" i="3" s="1"/>
  <c r="E78" i="3"/>
  <c r="F78" i="3" s="1"/>
  <c r="E77" i="3"/>
  <c r="F77" i="3" s="1"/>
  <c r="E76" i="3"/>
  <c r="F76" i="3" s="1"/>
  <c r="E75" i="3"/>
  <c r="F75" i="3" s="1"/>
  <c r="E74" i="3"/>
  <c r="F74" i="3" s="1"/>
  <c r="F73" i="3"/>
  <c r="E73" i="3"/>
  <c r="E72" i="3"/>
  <c r="F72" i="3" s="1"/>
  <c r="E71" i="3"/>
  <c r="F71" i="3" s="1"/>
  <c r="E70" i="3"/>
  <c r="F70" i="3" s="1"/>
  <c r="E69" i="3"/>
  <c r="F69" i="3" s="1"/>
  <c r="E68" i="3"/>
  <c r="F68" i="3" s="1"/>
  <c r="E67" i="3"/>
  <c r="F67" i="3" s="1"/>
  <c r="E66" i="3"/>
  <c r="F66" i="3" s="1"/>
  <c r="E65" i="3"/>
  <c r="F65" i="3" s="1"/>
  <c r="E64" i="3"/>
  <c r="F64" i="3" s="1"/>
  <c r="E63" i="3"/>
  <c r="F63" i="3" s="1"/>
  <c r="E62" i="3"/>
  <c r="F62" i="3" s="1"/>
  <c r="E61" i="3"/>
  <c r="F61" i="3" s="1"/>
  <c r="E60" i="3"/>
  <c r="F60" i="3" s="1"/>
  <c r="E59" i="3"/>
  <c r="F59" i="3" s="1"/>
  <c r="E58" i="3"/>
  <c r="F58" i="3" s="1"/>
  <c r="E57" i="3"/>
  <c r="F57" i="3" s="1"/>
  <c r="E56" i="3"/>
  <c r="F56" i="3" s="1"/>
  <c r="F55" i="3"/>
  <c r="E55" i="3"/>
  <c r="E54" i="3"/>
  <c r="F54" i="3" s="1"/>
  <c r="E53" i="3"/>
  <c r="F53" i="3" s="1"/>
  <c r="E52" i="3"/>
  <c r="F52" i="3" s="1"/>
  <c r="E51" i="3"/>
  <c r="F51" i="3" s="1"/>
  <c r="E50" i="3"/>
  <c r="F50" i="3" s="1"/>
  <c r="E49" i="3"/>
  <c r="F49" i="3" s="1"/>
  <c r="E48" i="3"/>
  <c r="F48" i="3" s="1"/>
  <c r="E47" i="3"/>
  <c r="F47" i="3" s="1"/>
  <c r="E46" i="3"/>
  <c r="F46" i="3" s="1"/>
  <c r="E45" i="3"/>
  <c r="F45" i="3" s="1"/>
  <c r="E44" i="3"/>
  <c r="F44" i="3" s="1"/>
  <c r="E43" i="3"/>
  <c r="F43" i="3" s="1"/>
  <c r="E42" i="3"/>
  <c r="F42" i="3" s="1"/>
  <c r="E41" i="3"/>
  <c r="F41" i="3" s="1"/>
  <c r="E40" i="3"/>
  <c r="F40" i="3" s="1"/>
  <c r="E39" i="3"/>
  <c r="F39" i="3" s="1"/>
  <c r="E38" i="3"/>
  <c r="F38" i="3" s="1"/>
  <c r="E37" i="3"/>
  <c r="F37" i="3" s="1"/>
  <c r="E36" i="3"/>
  <c r="E35" i="3"/>
  <c r="F35" i="3" s="1"/>
  <c r="E34" i="3"/>
  <c r="F34" i="3" s="1"/>
  <c r="E33" i="3"/>
  <c r="F33" i="3" s="1"/>
  <c r="E32" i="3"/>
  <c r="F32" i="3" s="1"/>
  <c r="E31" i="3"/>
  <c r="F31" i="3" s="1"/>
  <c r="E30" i="3"/>
  <c r="E29" i="3"/>
  <c r="F29" i="3" s="1"/>
  <c r="E28" i="3"/>
  <c r="F28" i="3" s="1"/>
  <c r="E27" i="3"/>
  <c r="F27" i="3" s="1"/>
  <c r="E26" i="3"/>
  <c r="F26" i="3" s="1"/>
  <c r="E25" i="3"/>
  <c r="F25" i="3" s="1"/>
  <c r="E24" i="3"/>
  <c r="E23" i="3"/>
  <c r="F23" i="3" s="1"/>
  <c r="E22" i="3"/>
  <c r="F22" i="3" s="1"/>
  <c r="E21" i="3"/>
  <c r="F21" i="3" s="1"/>
  <c r="E20" i="3"/>
  <c r="F20" i="3" s="1"/>
  <c r="E19" i="3"/>
  <c r="F19" i="3" s="1"/>
  <c r="E18" i="3"/>
  <c r="E17" i="3"/>
  <c r="F17" i="3" s="1"/>
  <c r="E16" i="3"/>
  <c r="F16" i="3" s="1"/>
  <c r="E15" i="3"/>
  <c r="F15" i="3" s="1"/>
  <c r="E14" i="3"/>
  <c r="F14" i="3" s="1"/>
  <c r="E13" i="3"/>
  <c r="F13" i="3" s="1"/>
  <c r="E12" i="3"/>
  <c r="E11" i="3"/>
  <c r="F11" i="3" s="1"/>
  <c r="E10" i="3"/>
  <c r="F10" i="3" s="1"/>
  <c r="E9" i="3"/>
  <c r="F9" i="3" s="1"/>
  <c r="E8" i="3"/>
  <c r="F8" i="3" s="1"/>
  <c r="E7" i="3"/>
  <c r="F7" i="3" s="1"/>
  <c r="E6" i="3"/>
  <c r="E5" i="3"/>
  <c r="F5" i="3" s="1"/>
  <c r="E4" i="3"/>
  <c r="F4" i="3" s="1"/>
  <c r="D19" i="2"/>
  <c r="E19" i="2" s="1"/>
  <c r="H19" i="2" s="1"/>
  <c r="D18" i="2"/>
  <c r="E18" i="2" s="1"/>
  <c r="E17" i="2"/>
  <c r="H17" i="2" s="1"/>
  <c r="D17" i="2"/>
  <c r="D16" i="2"/>
  <c r="E16" i="2" s="1"/>
  <c r="E15" i="2"/>
  <c r="H15" i="2" s="1"/>
  <c r="D15" i="2"/>
  <c r="D14" i="2"/>
  <c r="E14" i="2" s="1"/>
  <c r="D13" i="2"/>
  <c r="E13" i="2" s="1"/>
  <c r="H13" i="2" s="1"/>
  <c r="D12" i="2"/>
  <c r="E12" i="2" s="1"/>
  <c r="D11" i="2"/>
  <c r="E11" i="2" s="1"/>
  <c r="F36" i="3"/>
  <c r="E41" i="1"/>
  <c r="C30" i="1"/>
  <c r="E10" i="1"/>
  <c r="G24" i="1" l="1"/>
  <c r="F23" i="1"/>
  <c r="F24" i="1" s="1"/>
  <c r="C24" i="1"/>
  <c r="F18" i="1"/>
  <c r="H18" i="1" s="1"/>
  <c r="E50" i="1"/>
  <c r="F14" i="1"/>
  <c r="H14" i="1" s="1"/>
  <c r="F15" i="1"/>
  <c r="I15" i="1" s="1"/>
  <c r="G14" i="1"/>
  <c r="F19" i="1"/>
  <c r="F16" i="1"/>
  <c r="F13" i="1"/>
  <c r="F12" i="1"/>
  <c r="G12" i="1"/>
  <c r="F17" i="1"/>
  <c r="F11" i="1"/>
  <c r="F10" i="1"/>
  <c r="H10" i="1" s="1"/>
  <c r="G10" i="1"/>
  <c r="H11" i="2"/>
  <c r="G11" i="2"/>
  <c r="I11" i="2" s="1"/>
  <c r="J11" i="2" s="1"/>
  <c r="G13" i="2"/>
  <c r="I13" i="2" s="1"/>
  <c r="J13" i="2" s="1"/>
  <c r="G17" i="2"/>
  <c r="I17" i="2" s="1"/>
  <c r="J17" i="2" s="1"/>
  <c r="H14" i="2"/>
  <c r="G14" i="2"/>
  <c r="I14" i="2" s="1"/>
  <c r="J14" i="2" s="1"/>
  <c r="H18" i="2"/>
  <c r="G18" i="2"/>
  <c r="I18" i="2" s="1"/>
  <c r="J18" i="2" s="1"/>
  <c r="G15" i="2"/>
  <c r="I15" i="2" s="1"/>
  <c r="J15" i="2" s="1"/>
  <c r="G19" i="2"/>
  <c r="I19" i="2" s="1"/>
  <c r="J19" i="2" s="1"/>
  <c r="H12" i="2"/>
  <c r="G12" i="2"/>
  <c r="I12" i="2" s="1"/>
  <c r="J12" i="2" s="1"/>
  <c r="H16" i="2"/>
  <c r="G16" i="2"/>
  <c r="I16" i="2" s="1"/>
  <c r="J16" i="2" s="1"/>
  <c r="E20" i="1"/>
  <c r="E24" i="1" s="1"/>
  <c r="F6" i="3"/>
  <c r="F12" i="3"/>
  <c r="F18" i="3"/>
  <c r="F24" i="3"/>
  <c r="F30" i="3"/>
  <c r="I18" i="1" l="1"/>
  <c r="I23" i="1"/>
  <c r="H23" i="1"/>
  <c r="J24" i="1" s="1"/>
  <c r="J18" i="1"/>
  <c r="H15" i="1"/>
  <c r="J15" i="1" s="1"/>
  <c r="G20" i="1"/>
  <c r="I14" i="1"/>
  <c r="J14" i="1" s="1"/>
  <c r="I12" i="1"/>
  <c r="H12" i="1"/>
  <c r="I13" i="1"/>
  <c r="H13" i="1"/>
  <c r="I16" i="1"/>
  <c r="H16" i="1"/>
  <c r="H17" i="1"/>
  <c r="I17" i="1"/>
  <c r="H19" i="1"/>
  <c r="I19" i="1"/>
  <c r="I10" i="1"/>
  <c r="J10" i="1" s="1"/>
  <c r="I11" i="1"/>
  <c r="H11" i="1"/>
  <c r="F20" i="1"/>
  <c r="J23" i="1" l="1"/>
  <c r="J12" i="1"/>
  <c r="C43" i="1" s="1"/>
  <c r="J16" i="1"/>
  <c r="B36" i="1" s="1"/>
  <c r="J13" i="1"/>
  <c r="B33" i="1" s="1"/>
  <c r="J11" i="1"/>
  <c r="B31" i="1" s="1"/>
  <c r="J19" i="1"/>
  <c r="B38" i="1" s="1"/>
  <c r="B34" i="1"/>
  <c r="J17" i="1"/>
  <c r="B37" i="1" s="1"/>
  <c r="B32" i="1"/>
  <c r="G46" i="1"/>
  <c r="C45" i="1"/>
  <c r="G45" i="1"/>
  <c r="C46" i="1"/>
  <c r="H20" i="1"/>
  <c r="H24" i="1" s="1"/>
  <c r="I20" i="1"/>
  <c r="I24" i="1" s="1"/>
  <c r="B30" i="1"/>
  <c r="J20" i="1"/>
  <c r="G43" i="1" l="1"/>
  <c r="G44" i="1"/>
  <c r="B35" i="1"/>
  <c r="C44" i="1"/>
  <c r="E30" i="1"/>
  <c r="G41" i="1"/>
  <c r="C41" i="1"/>
  <c r="G48" i="1"/>
  <c r="C48" i="1"/>
  <c r="C42" i="1"/>
  <c r="G42" i="1"/>
  <c r="C47" i="1"/>
  <c r="G47" i="1"/>
  <c r="G49" i="1"/>
  <c r="C49" i="1"/>
  <c r="E36" i="1"/>
  <c r="D32" i="1"/>
  <c r="F32" i="1" s="1"/>
  <c r="G32" i="1" s="1"/>
  <c r="E32" i="1"/>
  <c r="E33" i="1"/>
  <c r="D33" i="1"/>
  <c r="F33" i="1" s="1"/>
  <c r="G33" i="1" s="1"/>
  <c r="D30" i="1"/>
  <c r="F30" i="1" s="1"/>
  <c r="G30" i="1" s="1"/>
  <c r="D35" i="1"/>
  <c r="F35" i="1" s="1"/>
  <c r="G35" i="1" s="1"/>
  <c r="E35" i="1"/>
  <c r="E34" i="1"/>
  <c r="D34" i="1"/>
  <c r="F34" i="1" s="1"/>
  <c r="G34" i="1" s="1"/>
  <c r="E31" i="1"/>
  <c r="D36" i="1" l="1"/>
  <c r="F36" i="1" s="1"/>
  <c r="G36" i="1" s="1"/>
  <c r="D31" i="1"/>
  <c r="F31" i="1" s="1"/>
  <c r="G31" i="1" s="1"/>
  <c r="C50" i="1"/>
  <c r="D38" i="1"/>
  <c r="F38" i="1" s="1"/>
  <c r="G38" i="1" s="1"/>
  <c r="E38" i="1"/>
  <c r="D37" i="1"/>
  <c r="F37" i="1" s="1"/>
  <c r="G37" i="1" s="1"/>
  <c r="E37" i="1"/>
</calcChain>
</file>

<file path=xl/sharedStrings.xml><?xml version="1.0" encoding="utf-8"?>
<sst xmlns="http://schemas.openxmlformats.org/spreadsheetml/2006/main" count="608" uniqueCount="306">
  <si>
    <t>VANGUARD PEPTIDES — MODELO DE PEDIDO REAL</t>
  </si>
  <si>
    <t>Baseado no pedido real: 4cx TR15 + 2cx RT15 · R$ 3.200 + R$ 350 FedEx</t>
  </si>
  <si>
    <t>⚙ CUSTOS DO PEDIDO</t>
  </si>
  <si>
    <t>VALOR</t>
  </si>
  <si>
    <t>NOTA</t>
  </si>
  <si>
    <t>Frete fixo (USD)</t>
  </si>
  <si>
    <t>Valor fixo independente da qtd</t>
  </si>
  <si>
    <t>Taxa FedEx / importação (R$)</t>
  </si>
  <si>
    <t>Declarado como outro produto — varia</t>
  </si>
  <si>
    <t>Câmbio USD/BRL</t>
  </si>
  <si>
    <t>Implícito no pedido real (3200÷610)</t>
  </si>
  <si>
    <t>Produto</t>
  </si>
  <si>
    <t>SKU</t>
  </si>
  <si>
    <t>Qtd Cx</t>
  </si>
  <si>
    <t>Preço/Cx
(USD)</t>
  </si>
  <si>
    <t>Total
(USD)</t>
  </si>
  <si>
    <t>% custo
produtos</t>
  </si>
  <si>
    <t>Custo Prod.
(R$)</t>
  </si>
  <si>
    <t>Frete
alocado (R$)</t>
  </si>
  <si>
    <t>FedEx
alocado (R$)</t>
  </si>
  <si>
    <t>Custo/Vial
(R$)</t>
  </si>
  <si>
    <t>Preço
Venda (R$)</t>
  </si>
  <si>
    <t>Tirzepatida 15mg</t>
  </si>
  <si>
    <t>TR15</t>
  </si>
  <si>
    <t>Retatrutida 15mg</t>
  </si>
  <si>
    <t>RT15</t>
  </si>
  <si>
    <t>TOTAIS DO PEDIDO</t>
  </si>
  <si>
    <t>Custo/Vial (R$)</t>
  </si>
  <si>
    <t>Preço Venda (R$)</t>
  </si>
  <si>
    <t>Margem Bruta (R$)</t>
  </si>
  <si>
    <t>Markup (%)</t>
  </si>
  <si>
    <t>Margem (%)</t>
  </si>
  <si>
    <t>Status</t>
  </si>
  <si>
    <t>💰 SIMULADOR — FATURAMENTO MÍNIMO PARA QUITAR O PEDIDO</t>
  </si>
  <si>
    <t>40 vials disponíveis</t>
  </si>
  <si>
    <t>← custo total do estoque</t>
  </si>
  <si>
    <t>← receita se vender tudo</t>
  </si>
  <si>
    <t>vials para pagar o pedido</t>
  </si>
  <si>
    <t>PORTFÓLIO VANGUARD — CUSTO REAL (COM FRETE E FEDEX)</t>
  </si>
  <si>
    <t>Custo/vial = produto + frete+fedex rateado · câmbio linkado da aba Modelo de Pedido</t>
  </si>
  <si>
    <t>⚙ PARÂMETROS GLOBAIS</t>
  </si>
  <si>
    <t>Frete fixo (USD) por pedido</t>
  </si>
  <si>
    <t>Taxa FedEx estimada (R$)</t>
  </si>
  <si>
    <t>Qtd mínima de caixas/pedido</t>
  </si>
  <si>
    <t>SKU Forn.</t>
  </si>
  <si>
    <t>Custo Prod.
/vial (R$)</t>
  </si>
  <si>
    <t>Custo c/ Overhead
/vial (R$)</t>
  </si>
  <si>
    <t>Margem
Bruta (R$)</t>
  </si>
  <si>
    <t>Markup
(%)</t>
  </si>
  <si>
    <t>Margem
(%)</t>
  </si>
  <si>
    <t>GHK-Cu 50mg</t>
  </si>
  <si>
    <t>CU50</t>
  </si>
  <si>
    <t>GLOW Blend 70mg</t>
  </si>
  <si>
    <t>BBG70</t>
  </si>
  <si>
    <t>SNAP-8 10mg</t>
  </si>
  <si>
    <t>NP810</t>
  </si>
  <si>
    <t>Tesamorelin 5mg</t>
  </si>
  <si>
    <t>TSM5</t>
  </si>
  <si>
    <t>Epithalon 10mg</t>
  </si>
  <si>
    <t>ET10</t>
  </si>
  <si>
    <t>PT-141 10mg</t>
  </si>
  <si>
    <t>P41</t>
  </si>
  <si>
    <t>Selank 5mg</t>
  </si>
  <si>
    <t>SK5</t>
  </si>
  <si>
    <t>CATÁLOGO ADINA — TODOS OS PRODUTOS</t>
  </si>
  <si>
    <t>Peptídeo</t>
  </si>
  <si>
    <t>Cat. No.</t>
  </si>
  <si>
    <t>Especificação</t>
  </si>
  <si>
    <t>Preço Cx
(USD)</t>
  </si>
  <si>
    <t>Custo/Vial
(USD)</t>
  </si>
  <si>
    <t>No catálogo?</t>
  </si>
  <si>
    <t>Semaglutide</t>
  </si>
  <si>
    <t>SM2</t>
  </si>
  <si>
    <t>2mg</t>
  </si>
  <si>
    <t>SM5</t>
  </si>
  <si>
    <t>5mg</t>
  </si>
  <si>
    <t>SM10</t>
  </si>
  <si>
    <t>10mg</t>
  </si>
  <si>
    <t>SM15</t>
  </si>
  <si>
    <t>15mg</t>
  </si>
  <si>
    <t>SM20</t>
  </si>
  <si>
    <t>20mg</t>
  </si>
  <si>
    <t>SM30</t>
  </si>
  <si>
    <t>30mg</t>
  </si>
  <si>
    <t>Tirzepatide</t>
  </si>
  <si>
    <t>TR5</t>
  </si>
  <si>
    <t>TR10</t>
  </si>
  <si>
    <t>✅ Sim</t>
  </si>
  <si>
    <t>TR20</t>
  </si>
  <si>
    <t>TR30</t>
  </si>
  <si>
    <t>TR40</t>
  </si>
  <si>
    <t>40mg</t>
  </si>
  <si>
    <t>TR50</t>
  </si>
  <si>
    <t>50mg</t>
  </si>
  <si>
    <t>TR60</t>
  </si>
  <si>
    <t>60mg</t>
  </si>
  <si>
    <t>TR100</t>
  </si>
  <si>
    <t>100mg</t>
  </si>
  <si>
    <t>Retatrutide</t>
  </si>
  <si>
    <t>RT5</t>
  </si>
  <si>
    <t>RT10</t>
  </si>
  <si>
    <t>RT20</t>
  </si>
  <si>
    <t>RT30</t>
  </si>
  <si>
    <t>RT40</t>
  </si>
  <si>
    <t>RT50</t>
  </si>
  <si>
    <t>RT60</t>
  </si>
  <si>
    <t>HGH 191AA</t>
  </si>
  <si>
    <t>H10</t>
  </si>
  <si>
    <t>10iu</t>
  </si>
  <si>
    <t>H12</t>
  </si>
  <si>
    <t>12iu</t>
  </si>
  <si>
    <t>H15</t>
  </si>
  <si>
    <t>15iu</t>
  </si>
  <si>
    <t>H24</t>
  </si>
  <si>
    <t>24iu</t>
  </si>
  <si>
    <t>H36</t>
  </si>
  <si>
    <t>36iu</t>
  </si>
  <si>
    <t>MT-1</t>
  </si>
  <si>
    <t>MT1</t>
  </si>
  <si>
    <t>MT-2 Melanotan</t>
  </si>
  <si>
    <t>ML10</t>
  </si>
  <si>
    <t>PT-141</t>
  </si>
  <si>
    <t>Gonadorelin</t>
  </si>
  <si>
    <t>GND2</t>
  </si>
  <si>
    <t>DSIP</t>
  </si>
  <si>
    <t>DS5</t>
  </si>
  <si>
    <t>DS10</t>
  </si>
  <si>
    <t>DS15</t>
  </si>
  <si>
    <t>Selank</t>
  </si>
  <si>
    <t>SK10</t>
  </si>
  <si>
    <t>SK30</t>
  </si>
  <si>
    <t>NA Selank Amidate</t>
  </si>
  <si>
    <t>NSK30</t>
  </si>
  <si>
    <t>Oxytocin</t>
  </si>
  <si>
    <t>OT2</t>
  </si>
  <si>
    <t>OT5</t>
  </si>
  <si>
    <t>OT10</t>
  </si>
  <si>
    <t>Epithalon</t>
  </si>
  <si>
    <t>ET40</t>
  </si>
  <si>
    <t>ET50</t>
  </si>
  <si>
    <t>BPC-157</t>
  </si>
  <si>
    <t>BC5</t>
  </si>
  <si>
    <t>BC10</t>
  </si>
  <si>
    <t>BC20</t>
  </si>
  <si>
    <t>BPC 5mg + TB 5mg</t>
  </si>
  <si>
    <t>BB10</t>
  </si>
  <si>
    <t>BPC 10mg + TB 10mg</t>
  </si>
  <si>
    <t>BB20</t>
  </si>
  <si>
    <t>ACE-031</t>
  </si>
  <si>
    <t>AE1</t>
  </si>
  <si>
    <t>1mg</t>
  </si>
  <si>
    <t>AICAR</t>
  </si>
  <si>
    <t>AR50</t>
  </si>
  <si>
    <t>AR100</t>
  </si>
  <si>
    <t>Adipotide</t>
  </si>
  <si>
    <t>AP2</t>
  </si>
  <si>
    <t>AP5</t>
  </si>
  <si>
    <t>Semax</t>
  </si>
  <si>
    <t>XA5</t>
  </si>
  <si>
    <t>XA10</t>
  </si>
  <si>
    <t>XA30</t>
  </si>
  <si>
    <t>NA Semax Amidate</t>
  </si>
  <si>
    <t>NXA30</t>
  </si>
  <si>
    <t>Semax+Selank Blend</t>
  </si>
  <si>
    <t>XS20</t>
  </si>
  <si>
    <t>SS-31</t>
  </si>
  <si>
    <t>2S10</t>
  </si>
  <si>
    <t>2S50</t>
  </si>
  <si>
    <t>GHRP-2</t>
  </si>
  <si>
    <t>G25</t>
  </si>
  <si>
    <t>G210</t>
  </si>
  <si>
    <t>GHRP-6</t>
  </si>
  <si>
    <t>G65</t>
  </si>
  <si>
    <t>G610</t>
  </si>
  <si>
    <t>CJC-1295 no DAC</t>
  </si>
  <si>
    <t>CND2</t>
  </si>
  <si>
    <t>CND5</t>
  </si>
  <si>
    <t>CND10</t>
  </si>
  <si>
    <t>CJC-1295 no DAC + Ipa</t>
  </si>
  <si>
    <t>CP10</t>
  </si>
  <si>
    <t>CJC-1295 DAC</t>
  </si>
  <si>
    <t>CD2</t>
  </si>
  <si>
    <t>CD5</t>
  </si>
  <si>
    <t>CD10</t>
  </si>
  <si>
    <t>TB-500</t>
  </si>
  <si>
    <t>BT5</t>
  </si>
  <si>
    <t>BT10</t>
  </si>
  <si>
    <t>TB-500 Fragment</t>
  </si>
  <si>
    <t>B10F</t>
  </si>
  <si>
    <t>MGF</t>
  </si>
  <si>
    <t>FM2</t>
  </si>
  <si>
    <t>PEG MGF</t>
  </si>
  <si>
    <t>FMP2</t>
  </si>
  <si>
    <t>Sermorelin</t>
  </si>
  <si>
    <t>SMO5</t>
  </si>
  <si>
    <t>SMO10</t>
  </si>
  <si>
    <t>HCG</t>
  </si>
  <si>
    <t>G10K</t>
  </si>
  <si>
    <t>10000IU</t>
  </si>
  <si>
    <t>G5K</t>
  </si>
  <si>
    <t>5000IU</t>
  </si>
  <si>
    <t>G2K</t>
  </si>
  <si>
    <t>2000IU</t>
  </si>
  <si>
    <t>AOD9604</t>
  </si>
  <si>
    <t>5AD</t>
  </si>
  <si>
    <t>10AD</t>
  </si>
  <si>
    <t>IGF-1LR3</t>
  </si>
  <si>
    <t>IG01</t>
  </si>
  <si>
    <t>0.1mg</t>
  </si>
  <si>
    <t>IG1</t>
  </si>
  <si>
    <t>Tesamorelin</t>
  </si>
  <si>
    <t>TSM10</t>
  </si>
  <si>
    <t>TSM20</t>
  </si>
  <si>
    <t>Ipamorelin</t>
  </si>
  <si>
    <t>IP5</t>
  </si>
  <si>
    <t>IP10</t>
  </si>
  <si>
    <t>Hexarelin</t>
  </si>
  <si>
    <t>HX2</t>
  </si>
  <si>
    <t>HX5</t>
  </si>
  <si>
    <t>HX10</t>
  </si>
  <si>
    <t>GHK-Cu</t>
  </si>
  <si>
    <t>CU100</t>
  </si>
  <si>
    <t>GHK Basic</t>
  </si>
  <si>
    <t>GH50</t>
  </si>
  <si>
    <t>AHK-CU</t>
  </si>
  <si>
    <t>AU100</t>
  </si>
  <si>
    <t>KissPeptin-10</t>
  </si>
  <si>
    <t>KS5</t>
  </si>
  <si>
    <t>KS10</t>
  </si>
  <si>
    <t>Thymalin</t>
  </si>
  <si>
    <t>TY10</t>
  </si>
  <si>
    <t>Thymosin Alpha-1</t>
  </si>
  <si>
    <t>TA5</t>
  </si>
  <si>
    <t>TA10</t>
  </si>
  <si>
    <t>MOTS-c</t>
  </si>
  <si>
    <t>MS10</t>
  </si>
  <si>
    <t>MS40</t>
  </si>
  <si>
    <t>FOXO4</t>
  </si>
  <si>
    <t>F410</t>
  </si>
  <si>
    <t>LL37</t>
  </si>
  <si>
    <t>Melatonin</t>
  </si>
  <si>
    <t>MT10</t>
  </si>
  <si>
    <t>HGH Fragment 176-191</t>
  </si>
  <si>
    <t>FR2</t>
  </si>
  <si>
    <t>FR5</t>
  </si>
  <si>
    <t>FR10</t>
  </si>
  <si>
    <t>Dermorphin</t>
  </si>
  <si>
    <t>DR5</t>
  </si>
  <si>
    <t>Glutathione</t>
  </si>
  <si>
    <t>GTT</t>
  </si>
  <si>
    <t>1500mg</t>
  </si>
  <si>
    <t>5-Amino-1MQ</t>
  </si>
  <si>
    <t>5AM</t>
  </si>
  <si>
    <t>10AM</t>
  </si>
  <si>
    <t>50AM</t>
  </si>
  <si>
    <t>Cagrilintide</t>
  </si>
  <si>
    <t>CGL5</t>
  </si>
  <si>
    <t>CGL10</t>
  </si>
  <si>
    <t>CGL20</t>
  </si>
  <si>
    <t>Ara-290</t>
  </si>
  <si>
    <t>RA10</t>
  </si>
  <si>
    <t>SNAP-8</t>
  </si>
  <si>
    <t>Mazdutide</t>
  </si>
  <si>
    <t>MDT5</t>
  </si>
  <si>
    <t>MDT10</t>
  </si>
  <si>
    <t>NAD+</t>
  </si>
  <si>
    <t>NJ3100</t>
  </si>
  <si>
    <t>NJ500</t>
  </si>
  <si>
    <t>500mg</t>
  </si>
  <si>
    <t>NJ1000</t>
  </si>
  <si>
    <t>1000mg</t>
  </si>
  <si>
    <t>BPC+GHK-Cu+TB-500 Blend</t>
  </si>
  <si>
    <t>70mg</t>
  </si>
  <si>
    <t>Survodutide</t>
  </si>
  <si>
    <t>SUR10</t>
  </si>
  <si>
    <t>Cagrilintide+Semaglutide</t>
  </si>
  <si>
    <t>CS10</t>
  </si>
  <si>
    <t>Retatrutide+Cagrilintide</t>
  </si>
  <si>
    <t>RC10</t>
  </si>
  <si>
    <t>VIP</t>
  </si>
  <si>
    <t>VP5</t>
  </si>
  <si>
    <t>VP10</t>
  </si>
  <si>
    <t>KPV</t>
  </si>
  <si>
    <t>KP5</t>
  </si>
  <si>
    <t>KP10</t>
  </si>
  <si>
    <t>PE 22-28</t>
  </si>
  <si>
    <t>PE10</t>
  </si>
  <si>
    <t>N-Acetyl Epitalon Amidate</t>
  </si>
  <si>
    <t>NET5</t>
  </si>
  <si>
    <t>BPC+GHK+TB500+KPV Blend</t>
  </si>
  <si>
    <t>KL80</t>
  </si>
  <si>
    <t>80mg</t>
  </si>
  <si>
    <t>Liraglutide</t>
  </si>
  <si>
    <t>LL5</t>
  </si>
  <si>
    <t>LL10</t>
  </si>
  <si>
    <t>LL30</t>
  </si>
  <si>
    <t xml:space="preserve">                                    </t>
  </si>
  <si>
    <t>bac.water</t>
  </si>
  <si>
    <t>BA10</t>
  </si>
  <si>
    <t>10ML</t>
  </si>
  <si>
    <t>3ML</t>
  </si>
  <si>
    <t>BA03</t>
  </si>
  <si>
    <t>Acetic acid water</t>
  </si>
  <si>
    <t>AA10</t>
  </si>
  <si>
    <t>AA03</t>
  </si>
  <si>
    <t>Tesamorelin 10mg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</si>
</sst>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.00"/>
    <numFmt numFmtId="165" formatCode="&quot;R$&quot;#,##0.00"/>
    <numFmt numFmtId="166" formatCode="&quot;R$&quot;#,##0.0000"/>
    <numFmt numFmtId="167" formatCode="\$#,##0"/>
    <numFmt numFmtId="168" formatCode="0.0%"/>
    <numFmt numFmtId="169" formatCode="&quot;R$&quot;#,##0"/>
    <numFmt numFmtId="170" formatCode="&quot;R$&quot;\ #,##0.00"/>
  </numFmts>
  <fonts count="1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AAAAAA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0000FF"/>
      <name val="Arial"/>
      <charset val="1"/>
    </font>
    <font>
      <i/>
      <sz val="10"/>
      <color rgb="FF777777"/>
      <name val="Arial"/>
      <charset val="1"/>
    </font>
    <font>
      <sz val="10"/>
      <color rgb="FF666666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0"/>
      <color rgb="FF006600"/>
      <name val="Arial"/>
      <charset val="1"/>
    </font>
    <font>
      <i/>
      <sz val="10"/>
      <color rgb="FF888888"/>
      <name val="Arial"/>
      <charset val="1"/>
    </font>
    <font>
      <b/>
      <sz val="10"/>
      <color rgb="FF0077B6"/>
      <name val="Arial"/>
      <charset val="1"/>
    </font>
    <font>
      <sz val="10"/>
      <color rgb="FF006600"/>
      <name val="Arial"/>
      <charset val="1"/>
    </font>
    <font>
      <sz val="10"/>
      <color rgb="FF0000FF"/>
      <name val="Arial"/>
      <charset val="1"/>
    </font>
    <font>
      <sz val="10"/>
      <color rgb="FF999999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0F3460"/>
        <bgColor rgb="FF1A1A2E"/>
      </patternFill>
    </fill>
    <fill>
      <patternFill patternType="solid">
        <fgColor rgb="FF555555"/>
        <bgColor rgb="FF666666"/>
      </patternFill>
    </fill>
    <fill>
      <patternFill patternType="solid">
        <fgColor rgb="FFF5F7FA"/>
        <bgColor rgb="FFFFFFFF"/>
      </patternFill>
    </fill>
    <fill>
      <patternFill patternType="solid">
        <fgColor rgb="FFDFFAFF"/>
        <bgColor rgb="FFF5F7FA"/>
      </patternFill>
    </fill>
    <fill>
      <patternFill patternType="solid">
        <fgColor rgb="FFFFFFFF"/>
        <bgColor rgb="FFF5F7FA"/>
      </patternFill>
    </fill>
    <fill>
      <patternFill patternType="solid">
        <fgColor rgb="FFFFFACC"/>
        <bgColor rgb="FFF5F7FA"/>
      </patternFill>
    </fill>
    <fill>
      <patternFill patternType="solid">
        <fgColor rgb="FFD6F5D6"/>
        <bgColor rgb="FFDFFA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CCDDEE"/>
      </bottom>
      <diagonal/>
    </border>
    <border>
      <left/>
      <right/>
      <top style="thin">
        <color rgb="FFCCDDEE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166" fontId="5" fillId="6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167" fontId="5" fillId="6" borderId="1" xfId="0" applyNumberFormat="1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168" fontId="8" fillId="7" borderId="1" xfId="0" applyNumberFormat="1" applyFont="1" applyFill="1" applyBorder="1" applyAlignment="1">
      <alignment horizontal="center" vertical="center"/>
    </xf>
    <xf numFmtId="165" fontId="8" fillId="7" borderId="1" xfId="0" applyNumberFormat="1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169" fontId="5" fillId="6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168" fontId="8" fillId="5" borderId="1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164" fontId="9" fillId="3" borderId="0" xfId="0" applyNumberFormat="1" applyFont="1" applyFill="1" applyAlignment="1">
      <alignment horizontal="center"/>
    </xf>
    <xf numFmtId="165" fontId="9" fillId="3" borderId="0" xfId="0" applyNumberFormat="1" applyFont="1" applyFill="1" applyAlignment="1">
      <alignment horizontal="center"/>
    </xf>
    <xf numFmtId="165" fontId="8" fillId="8" borderId="1" xfId="0" applyNumberFormat="1" applyFont="1" applyFill="1" applyBorder="1" applyAlignment="1">
      <alignment horizontal="center"/>
    </xf>
    <xf numFmtId="169" fontId="5" fillId="6" borderId="1" xfId="0" applyNumberFormat="1" applyFont="1" applyFill="1" applyBorder="1" applyAlignment="1">
      <alignment horizontal="center"/>
    </xf>
    <xf numFmtId="165" fontId="10" fillId="9" borderId="1" xfId="0" applyNumberFormat="1" applyFont="1" applyFill="1" applyBorder="1" applyAlignment="1">
      <alignment horizontal="center"/>
    </xf>
    <xf numFmtId="9" fontId="10" fillId="9" borderId="1" xfId="0" applyNumberFormat="1" applyFont="1" applyFill="1" applyBorder="1" applyAlignment="1">
      <alignment horizontal="center"/>
    </xf>
    <xf numFmtId="168" fontId="10" fillId="9" borderId="1" xfId="0" applyNumberFormat="1" applyFont="1" applyFill="1" applyBorder="1" applyAlignment="1">
      <alignment horizontal="center"/>
    </xf>
    <xf numFmtId="49" fontId="8" fillId="7" borderId="1" xfId="0" applyNumberFormat="1" applyFont="1" applyFill="1" applyBorder="1" applyAlignment="1">
      <alignment horizontal="center"/>
    </xf>
    <xf numFmtId="49" fontId="8" fillId="5" borderId="1" xfId="0" applyNumberFormat="1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165" fontId="0" fillId="8" borderId="1" xfId="0" applyNumberFormat="1" applyFill="1" applyBorder="1" applyAlignment="1">
      <alignment horizontal="center"/>
    </xf>
    <xf numFmtId="0" fontId="11" fillId="7" borderId="1" xfId="0" applyFont="1" applyFill="1" applyBorder="1" applyAlignment="1">
      <alignment horizontal="left" vertical="center"/>
    </xf>
    <xf numFmtId="1" fontId="12" fillId="6" borderId="1" xfId="0" applyNumberFormat="1" applyFont="1" applyFill="1" applyBorder="1" applyAlignment="1">
      <alignment horizontal="center"/>
    </xf>
    <xf numFmtId="165" fontId="8" fillId="7" borderId="1" xfId="0" applyNumberFormat="1" applyFont="1" applyFill="1" applyBorder="1" applyAlignment="1">
      <alignment horizontal="center"/>
    </xf>
    <xf numFmtId="165" fontId="4" fillId="8" borderId="1" xfId="0" applyNumberFormat="1" applyFont="1" applyFill="1" applyBorder="1" applyAlignment="1">
      <alignment horizontal="center"/>
    </xf>
    <xf numFmtId="9" fontId="13" fillId="9" borderId="1" xfId="0" applyNumberFormat="1" applyFont="1" applyFill="1" applyBorder="1" applyAlignment="1">
      <alignment horizontal="center"/>
    </xf>
    <xf numFmtId="165" fontId="8" fillId="5" borderId="1" xfId="0" applyNumberFormat="1" applyFont="1" applyFill="1" applyBorder="1" applyAlignment="1">
      <alignment horizontal="center"/>
    </xf>
    <xf numFmtId="49" fontId="8" fillId="7" borderId="0" xfId="0" applyNumberFormat="1" applyFont="1" applyFill="1" applyAlignment="1">
      <alignment horizontal="left" vertical="center"/>
    </xf>
    <xf numFmtId="49" fontId="7" fillId="7" borderId="0" xfId="0" applyNumberFormat="1" applyFont="1" applyFill="1" applyAlignment="1">
      <alignment horizontal="center" vertical="center"/>
    </xf>
    <xf numFmtId="49" fontId="8" fillId="7" borderId="0" xfId="0" applyNumberFormat="1" applyFont="1" applyFill="1" applyAlignment="1">
      <alignment horizontal="center" vertical="center"/>
    </xf>
    <xf numFmtId="167" fontId="14" fillId="7" borderId="0" xfId="0" applyNumberFormat="1" applyFont="1" applyFill="1" applyAlignment="1">
      <alignment horizontal="center" vertical="center"/>
    </xf>
    <xf numFmtId="164" fontId="8" fillId="7" borderId="0" xfId="0" applyNumberFormat="1" applyFont="1" applyFill="1" applyAlignment="1">
      <alignment horizontal="center" vertical="center"/>
    </xf>
    <xf numFmtId="165" fontId="4" fillId="7" borderId="0" xfId="0" applyNumberFormat="1" applyFont="1" applyFill="1" applyAlignment="1">
      <alignment horizontal="center" vertical="center"/>
    </xf>
    <xf numFmtId="49" fontId="15" fillId="7" borderId="0" xfId="0" applyNumberFormat="1" applyFont="1" applyFill="1" applyAlignment="1">
      <alignment horizontal="center" vertical="center"/>
    </xf>
    <xf numFmtId="49" fontId="8" fillId="5" borderId="0" xfId="0" applyNumberFormat="1" applyFont="1" applyFill="1" applyAlignment="1">
      <alignment horizontal="left" vertical="center"/>
    </xf>
    <xf numFmtId="49" fontId="7" fillId="5" borderId="0" xfId="0" applyNumberFormat="1" applyFont="1" applyFill="1" applyAlignment="1">
      <alignment horizontal="center" vertical="center"/>
    </xf>
    <xf numFmtId="49" fontId="8" fillId="5" borderId="0" xfId="0" applyNumberFormat="1" applyFont="1" applyFill="1" applyAlignment="1">
      <alignment horizontal="center" vertical="center"/>
    </xf>
    <xf numFmtId="167" fontId="14" fillId="5" borderId="0" xfId="0" applyNumberFormat="1" applyFont="1" applyFill="1" applyAlignment="1">
      <alignment horizontal="center" vertical="center"/>
    </xf>
    <xf numFmtId="164" fontId="8" fillId="5" borderId="0" xfId="0" applyNumberFormat="1" applyFont="1" applyFill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  <xf numFmtId="49" fontId="15" fillId="5" borderId="0" xfId="0" applyNumberFormat="1" applyFont="1" applyFill="1" applyAlignment="1">
      <alignment horizontal="center" vertical="center"/>
    </xf>
    <xf numFmtId="49" fontId="4" fillId="6" borderId="0" xfId="0" applyNumberFormat="1" applyFont="1" applyFill="1" applyAlignment="1">
      <alignment horizontal="left" vertical="center"/>
    </xf>
    <xf numFmtId="49" fontId="7" fillId="6" borderId="0" xfId="0" applyNumberFormat="1" applyFont="1" applyFill="1" applyAlignment="1">
      <alignment horizontal="center" vertical="center"/>
    </xf>
    <xf numFmtId="49" fontId="8" fillId="6" borderId="0" xfId="0" applyNumberFormat="1" applyFont="1" applyFill="1" applyAlignment="1">
      <alignment horizontal="center" vertical="center"/>
    </xf>
    <xf numFmtId="167" fontId="14" fillId="6" borderId="0" xfId="0" applyNumberFormat="1" applyFont="1" applyFill="1" applyAlignment="1">
      <alignment horizontal="center" vertical="center"/>
    </xf>
    <xf numFmtId="164" fontId="8" fillId="6" borderId="0" xfId="0" applyNumberFormat="1" applyFont="1" applyFill="1" applyAlignment="1">
      <alignment horizontal="center" vertical="center"/>
    </xf>
    <xf numFmtId="165" fontId="4" fillId="6" borderId="0" xfId="0" applyNumberFormat="1" applyFont="1" applyFill="1" applyAlignment="1">
      <alignment horizontal="center" vertical="center"/>
    </xf>
    <xf numFmtId="49" fontId="13" fillId="6" borderId="0" xfId="0" applyNumberFormat="1" applyFont="1" applyFill="1" applyAlignment="1">
      <alignment horizontal="center" vertical="center"/>
    </xf>
    <xf numFmtId="0" fontId="9" fillId="3" borderId="0" xfId="0" applyFont="1" applyFill="1"/>
    <xf numFmtId="165" fontId="9" fillId="3" borderId="0" xfId="0" applyNumberFormat="1" applyFont="1" applyFill="1"/>
    <xf numFmtId="9" fontId="9" fillId="3" borderId="0" xfId="0" applyNumberFormat="1" applyFont="1" applyFill="1" applyAlignment="1">
      <alignment horizontal="center"/>
    </xf>
    <xf numFmtId="1" fontId="9" fillId="3" borderId="0" xfId="0" applyNumberFormat="1" applyFont="1" applyFill="1" applyAlignment="1">
      <alignment horizontal="center" vertical="center"/>
    </xf>
    <xf numFmtId="0" fontId="11" fillId="7" borderId="0" xfId="0" applyFont="1" applyFill="1" applyAlignment="1">
      <alignment horizontal="left" vertical="center"/>
    </xf>
    <xf numFmtId="0" fontId="9" fillId="3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center"/>
    </xf>
    <xf numFmtId="164" fontId="5" fillId="6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/>
    </xf>
    <xf numFmtId="170" fontId="9" fillId="3" borderId="0" xfId="0" applyNumberFormat="1" applyFont="1" applyFill="1" applyAlignment="1">
      <alignment horizontal="center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777777"/>
      <rgbColor rgb="FF800080"/>
      <rgbColor rgb="FF008080"/>
      <rgbColor rgb="FFAAAAAA"/>
      <rgbColor rgb="FF888888"/>
      <rgbColor rgb="FF9999FF"/>
      <rgbColor rgb="FF993366"/>
      <rgbColor rgb="FFFFFACC"/>
      <rgbColor rgb="FFDFFAFF"/>
      <rgbColor rgb="FF660066"/>
      <rgbColor rgb="FFFF8080"/>
      <rgbColor rgb="FF0077B6"/>
      <rgbColor rgb="FFCCDD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D6F5D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F3460"/>
      <rgbColor rgb="FF339966"/>
      <rgbColor rgb="FF003300"/>
      <rgbColor rgb="FF333300"/>
      <rgbColor rgb="FF993300"/>
      <rgbColor rgb="FF993366"/>
      <rgbColor rgb="FF555555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2"/>
  <sheetViews>
    <sheetView showGridLines="0" tabSelected="1" zoomScale="85" zoomScaleNormal="85" workbookViewId="0">
      <selection activeCell="C12" sqref="C12"/>
    </sheetView>
  </sheetViews>
  <sheetFormatPr defaultColWidth="26.85546875" defaultRowHeight="15" x14ac:dyDescent="0.25"/>
  <sheetData>
    <row r="1" spans="1:11" ht="27.75" customHeight="1" x14ac:dyDescent="0.25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ht="15.75" customHeight="1" x14ac:dyDescent="0.25">
      <c r="A2" s="70" t="s">
        <v>1</v>
      </c>
      <c r="B2" s="70"/>
      <c r="C2" s="70"/>
      <c r="D2" s="70"/>
      <c r="E2" s="70"/>
      <c r="F2" s="70"/>
      <c r="G2" s="70"/>
      <c r="H2" s="70"/>
      <c r="I2" s="70"/>
      <c r="J2" s="70"/>
      <c r="K2" s="70"/>
    </row>
    <row r="4" spans="1:11" ht="21.75" customHeight="1" x14ac:dyDescent="0.25">
      <c r="A4" s="71" t="s">
        <v>2</v>
      </c>
      <c r="B4" s="71"/>
      <c r="C4" s="71"/>
      <c r="D4" s="71" t="s">
        <v>3</v>
      </c>
      <c r="E4" s="71"/>
      <c r="F4" s="72" t="s">
        <v>4</v>
      </c>
      <c r="G4" s="72"/>
    </row>
    <row r="5" spans="1:11" ht="19.5" customHeight="1" x14ac:dyDescent="0.25">
      <c r="A5" s="63" t="s">
        <v>5</v>
      </c>
      <c r="B5" s="63"/>
      <c r="C5" s="63"/>
      <c r="D5" s="67">
        <v>90</v>
      </c>
      <c r="E5" s="67"/>
      <c r="F5" s="65" t="s">
        <v>6</v>
      </c>
      <c r="G5" s="65"/>
    </row>
    <row r="6" spans="1:11" ht="19.5" customHeight="1" x14ac:dyDescent="0.25">
      <c r="A6" s="63" t="s">
        <v>7</v>
      </c>
      <c r="B6" s="63"/>
      <c r="C6" s="63"/>
      <c r="D6" s="68">
        <v>350</v>
      </c>
      <c r="E6" s="68"/>
      <c r="F6" s="65" t="s">
        <v>8</v>
      </c>
      <c r="G6" s="65"/>
    </row>
    <row r="7" spans="1:11" ht="19.5" customHeight="1" x14ac:dyDescent="0.25">
      <c r="A7" s="63" t="s">
        <v>9</v>
      </c>
      <c r="B7" s="63"/>
      <c r="C7" s="63"/>
      <c r="D7" s="64">
        <v>5.2458999999999998</v>
      </c>
      <c r="E7" s="64"/>
      <c r="F7" s="65" t="s">
        <v>10</v>
      </c>
      <c r="G7" s="65"/>
    </row>
    <row r="9" spans="1:11" ht="36" customHeight="1" x14ac:dyDescent="0.25">
      <c r="A9" s="5" t="s">
        <v>11</v>
      </c>
      <c r="B9" s="5" t="s">
        <v>12</v>
      </c>
      <c r="C9" s="5" t="s">
        <v>13</v>
      </c>
      <c r="D9" s="5" t="s">
        <v>14</v>
      </c>
      <c r="E9" s="5" t="s">
        <v>15</v>
      </c>
      <c r="F9" s="5" t="s">
        <v>16</v>
      </c>
      <c r="G9" s="5" t="s">
        <v>17</v>
      </c>
      <c r="H9" s="5" t="s">
        <v>18</v>
      </c>
      <c r="I9" s="5" t="s">
        <v>19</v>
      </c>
      <c r="J9" s="5" t="s">
        <v>20</v>
      </c>
      <c r="K9" s="5" t="s">
        <v>21</v>
      </c>
    </row>
    <row r="10" spans="1:11" ht="21.75" hidden="1" customHeight="1" x14ac:dyDescent="0.25">
      <c r="A10" s="6" t="s">
        <v>22</v>
      </c>
      <c r="B10" s="7" t="s">
        <v>23</v>
      </c>
      <c r="C10" s="8">
        <v>0</v>
      </c>
      <c r="D10" s="9">
        <v>70</v>
      </c>
      <c r="E10" s="10">
        <f>C10*D10</f>
        <v>0</v>
      </c>
      <c r="F10" s="11">
        <f t="shared" ref="F10:F17" si="0">E10/SUM($E$10:$E$19)</f>
        <v>0</v>
      </c>
      <c r="G10" s="12">
        <f>E10*$D$7</f>
        <v>0</v>
      </c>
      <c r="H10" s="12">
        <f>($D$5*$D$7)*F10</f>
        <v>0</v>
      </c>
      <c r="I10" s="12">
        <f>$D$6*F10</f>
        <v>0</v>
      </c>
      <c r="J10" s="13">
        <f>IFERROR((G10+H10+I10)/(C10*10),0)</f>
        <v>0</v>
      </c>
      <c r="K10" s="14">
        <v>299</v>
      </c>
    </row>
    <row r="11" spans="1:11" ht="21.75" customHeight="1" x14ac:dyDescent="0.25">
      <c r="A11" s="4" t="s">
        <v>24</v>
      </c>
      <c r="B11" s="15" t="s">
        <v>25</v>
      </c>
      <c r="C11" s="8">
        <v>2</v>
      </c>
      <c r="D11" s="9">
        <v>120</v>
      </c>
      <c r="E11" s="16">
        <f>C11*D11</f>
        <v>240</v>
      </c>
      <c r="F11" s="17">
        <f t="shared" si="0"/>
        <v>0.17790956263899185</v>
      </c>
      <c r="G11" s="18">
        <f>E11*$D$7</f>
        <v>1259.0159999999998</v>
      </c>
      <c r="H11" s="18">
        <f>($D$5*$D$7)*F11</f>
        <v>83.996619718309859</v>
      </c>
      <c r="I11" s="12">
        <f>$D$6*F11</f>
        <v>62.268346923647151</v>
      </c>
      <c r="J11" s="13">
        <f t="shared" ref="J11:J19" si="1">IFERROR((G11+H11+I11)/(C11*10),0)</f>
        <v>70.264048332097843</v>
      </c>
      <c r="K11" s="14">
        <v>399</v>
      </c>
    </row>
    <row r="12" spans="1:11" ht="21.75" customHeight="1" x14ac:dyDescent="0.25">
      <c r="A12" s="6" t="s">
        <v>50</v>
      </c>
      <c r="B12" s="7" t="s">
        <v>51</v>
      </c>
      <c r="C12" s="8">
        <v>5</v>
      </c>
      <c r="D12" s="9">
        <v>35</v>
      </c>
      <c r="E12" s="16">
        <f t="shared" ref="E12:E19" si="2">C12*D12</f>
        <v>175</v>
      </c>
      <c r="F12" s="17">
        <f t="shared" si="0"/>
        <v>0.12972572275759822</v>
      </c>
      <c r="G12" s="18">
        <f t="shared" ref="G12:G19" si="3">E12*$D$7</f>
        <v>918.03249999999991</v>
      </c>
      <c r="H12" s="18">
        <f t="shared" ref="H12:H19" si="4">($D$5*$D$7)*F12</f>
        <v>61.247535211267603</v>
      </c>
      <c r="I12" s="12">
        <f t="shared" ref="I12:I19" si="5">$D$6*F12</f>
        <v>45.404002965159378</v>
      </c>
      <c r="J12" s="13">
        <f t="shared" si="1"/>
        <v>20.493680763528538</v>
      </c>
      <c r="K12" s="14">
        <v>299</v>
      </c>
    </row>
    <row r="13" spans="1:11" ht="21.75" customHeight="1" x14ac:dyDescent="0.25">
      <c r="A13" s="4" t="s">
        <v>52</v>
      </c>
      <c r="B13" s="15" t="s">
        <v>53</v>
      </c>
      <c r="C13" s="8">
        <v>2</v>
      </c>
      <c r="D13" s="9">
        <v>180</v>
      </c>
      <c r="E13" s="16">
        <f t="shared" si="2"/>
        <v>360</v>
      </c>
      <c r="F13" s="17">
        <f t="shared" si="0"/>
        <v>0.26686434395848779</v>
      </c>
      <c r="G13" s="18">
        <f t="shared" si="3"/>
        <v>1888.5239999999999</v>
      </c>
      <c r="H13" s="18">
        <f t="shared" si="4"/>
        <v>125.99492957746479</v>
      </c>
      <c r="I13" s="12">
        <f t="shared" si="5"/>
        <v>93.402520385470723</v>
      </c>
      <c r="J13" s="13">
        <f t="shared" si="1"/>
        <v>105.39607249814676</v>
      </c>
      <c r="K13" s="14">
        <v>699</v>
      </c>
    </row>
    <row r="14" spans="1:11" ht="21.75" hidden="1" customHeight="1" x14ac:dyDescent="0.25">
      <c r="A14" s="6" t="s">
        <v>54</v>
      </c>
      <c r="B14" s="7" t="s">
        <v>55</v>
      </c>
      <c r="C14" s="8">
        <v>0</v>
      </c>
      <c r="D14" s="9">
        <v>50</v>
      </c>
      <c r="E14" s="16">
        <f t="shared" si="2"/>
        <v>0</v>
      </c>
      <c r="F14" s="17">
        <f t="shared" si="0"/>
        <v>0</v>
      </c>
      <c r="G14" s="18">
        <f t="shared" si="3"/>
        <v>0</v>
      </c>
      <c r="H14" s="18">
        <f t="shared" si="4"/>
        <v>0</v>
      </c>
      <c r="I14" s="12">
        <f t="shared" si="5"/>
        <v>0</v>
      </c>
      <c r="J14" s="13">
        <f t="shared" si="1"/>
        <v>0</v>
      </c>
      <c r="K14" s="14">
        <v>290</v>
      </c>
    </row>
    <row r="15" spans="1:11" ht="21.75" customHeight="1" x14ac:dyDescent="0.25">
      <c r="A15" s="4" t="s">
        <v>305</v>
      </c>
      <c r="B15" s="15" t="s">
        <v>211</v>
      </c>
      <c r="C15" s="8">
        <v>3</v>
      </c>
      <c r="D15" s="9">
        <v>160</v>
      </c>
      <c r="E15" s="16">
        <f t="shared" si="2"/>
        <v>480</v>
      </c>
      <c r="F15" s="17">
        <f t="shared" si="0"/>
        <v>0.35581912527798371</v>
      </c>
      <c r="G15" s="18">
        <f t="shared" si="3"/>
        <v>2518.0319999999997</v>
      </c>
      <c r="H15" s="18">
        <f t="shared" si="4"/>
        <v>167.99323943661972</v>
      </c>
      <c r="I15" s="12">
        <f t="shared" si="5"/>
        <v>124.5366938472943</v>
      </c>
      <c r="J15" s="13">
        <f t="shared" si="1"/>
        <v>93.685397776130458</v>
      </c>
      <c r="K15" s="14">
        <v>520</v>
      </c>
    </row>
    <row r="16" spans="1:11" ht="21.75" hidden="1" customHeight="1" x14ac:dyDescent="0.25">
      <c r="A16" s="6" t="s">
        <v>58</v>
      </c>
      <c r="B16" s="7" t="s">
        <v>59</v>
      </c>
      <c r="C16" s="8">
        <v>0</v>
      </c>
      <c r="D16" s="9">
        <v>40</v>
      </c>
      <c r="E16" s="16">
        <f t="shared" si="2"/>
        <v>0</v>
      </c>
      <c r="F16" s="17">
        <f t="shared" si="0"/>
        <v>0</v>
      </c>
      <c r="G16" s="18">
        <f t="shared" si="3"/>
        <v>0</v>
      </c>
      <c r="H16" s="18">
        <f t="shared" si="4"/>
        <v>0</v>
      </c>
      <c r="I16" s="12">
        <f t="shared" si="5"/>
        <v>0</v>
      </c>
      <c r="J16" s="13">
        <f t="shared" si="1"/>
        <v>0</v>
      </c>
      <c r="K16" s="14">
        <v>249</v>
      </c>
    </row>
    <row r="17" spans="1:11" ht="21.75" customHeight="1" x14ac:dyDescent="0.25">
      <c r="A17" s="4" t="s">
        <v>60</v>
      </c>
      <c r="B17" s="15" t="s">
        <v>61</v>
      </c>
      <c r="C17" s="8">
        <v>1</v>
      </c>
      <c r="D17" s="9">
        <v>50</v>
      </c>
      <c r="E17" s="16">
        <f t="shared" si="2"/>
        <v>50</v>
      </c>
      <c r="F17" s="17">
        <f t="shared" si="0"/>
        <v>3.7064492216456635E-2</v>
      </c>
      <c r="G17" s="18">
        <f t="shared" si="3"/>
        <v>262.29500000000002</v>
      </c>
      <c r="H17" s="18">
        <f t="shared" si="4"/>
        <v>17.499295774647887</v>
      </c>
      <c r="I17" s="12">
        <f t="shared" si="5"/>
        <v>12.972572275759822</v>
      </c>
      <c r="J17" s="13">
        <f t="shared" si="1"/>
        <v>29.276686805040772</v>
      </c>
      <c r="K17" s="14">
        <v>280</v>
      </c>
    </row>
    <row r="18" spans="1:11" ht="21.75" hidden="1" customHeight="1" x14ac:dyDescent="0.25">
      <c r="A18" s="6" t="s">
        <v>297</v>
      </c>
      <c r="B18" s="7" t="s">
        <v>301</v>
      </c>
      <c r="C18" s="8">
        <v>0</v>
      </c>
      <c r="D18" s="9">
        <v>10</v>
      </c>
      <c r="E18" s="16">
        <f t="shared" si="2"/>
        <v>0</v>
      </c>
      <c r="F18" s="17">
        <f t="shared" ref="F18" si="6">E18/SUM($E$10:$E$19)</f>
        <v>0</v>
      </c>
      <c r="G18" s="18">
        <f t="shared" si="3"/>
        <v>0</v>
      </c>
      <c r="H18" s="18">
        <f t="shared" si="4"/>
        <v>0</v>
      </c>
      <c r="I18" s="12">
        <f t="shared" si="5"/>
        <v>0</v>
      </c>
      <c r="J18" s="13">
        <f t="shared" si="1"/>
        <v>0</v>
      </c>
      <c r="K18" s="14">
        <v>0</v>
      </c>
    </row>
    <row r="19" spans="1:11" ht="21.75" customHeight="1" x14ac:dyDescent="0.25">
      <c r="A19" s="4" t="s">
        <v>62</v>
      </c>
      <c r="B19" s="15" t="s">
        <v>63</v>
      </c>
      <c r="C19" s="8">
        <v>1</v>
      </c>
      <c r="D19" s="9">
        <v>44</v>
      </c>
      <c r="E19" s="16">
        <f t="shared" si="2"/>
        <v>44</v>
      </c>
      <c r="F19" s="17">
        <f>E19/SUM($E$10:$E$19)</f>
        <v>3.2616753150481841E-2</v>
      </c>
      <c r="G19" s="18">
        <f t="shared" si="3"/>
        <v>230.81959999999998</v>
      </c>
      <c r="H19" s="18">
        <f t="shared" si="4"/>
        <v>15.39938028169014</v>
      </c>
      <c r="I19" s="12">
        <f t="shared" si="5"/>
        <v>11.415863602668644</v>
      </c>
      <c r="J19" s="13">
        <f t="shared" si="1"/>
        <v>25.763484388435877</v>
      </c>
      <c r="K19" s="14">
        <v>199</v>
      </c>
    </row>
    <row r="20" spans="1:11" ht="24" customHeight="1" x14ac:dyDescent="0.25">
      <c r="A20" s="62" t="s">
        <v>26</v>
      </c>
      <c r="B20" s="62"/>
      <c r="C20" s="60">
        <f>SUM(C10:C19)</f>
        <v>14</v>
      </c>
      <c r="D20" s="57"/>
      <c r="E20" s="19">
        <f>SUM(E10:E19)</f>
        <v>1349</v>
      </c>
      <c r="F20" s="59">
        <f>SUM(F10:F19)</f>
        <v>1</v>
      </c>
      <c r="G20" s="20">
        <f>SUM(G10:G19)</f>
        <v>7076.7190999999993</v>
      </c>
      <c r="H20" s="20">
        <f>SUM(H10:H19)</f>
        <v>472.13099999999997</v>
      </c>
      <c r="I20" s="20">
        <f>SUM(I10:I19)</f>
        <v>350.00000000000006</v>
      </c>
      <c r="J20" s="20">
        <f>(SUM(G10:I19)+E5*E7+E6)/SUM(C10:C19)/10</f>
        <v>56.420357857142847</v>
      </c>
    </row>
    <row r="22" spans="1:11" ht="25.5" x14ac:dyDescent="0.25">
      <c r="A22" s="5" t="s">
        <v>11</v>
      </c>
      <c r="B22" s="5" t="s">
        <v>12</v>
      </c>
      <c r="C22" s="5" t="s">
        <v>13</v>
      </c>
      <c r="D22" s="5" t="s">
        <v>14</v>
      </c>
      <c r="E22" s="5" t="s">
        <v>15</v>
      </c>
      <c r="F22" s="5" t="s">
        <v>16</v>
      </c>
      <c r="G22" s="5" t="s">
        <v>17</v>
      </c>
      <c r="H22" s="5" t="s">
        <v>18</v>
      </c>
      <c r="I22" s="5" t="s">
        <v>19</v>
      </c>
      <c r="J22" s="5" t="s">
        <v>20</v>
      </c>
      <c r="K22" s="5" t="s">
        <v>21</v>
      </c>
    </row>
    <row r="23" spans="1:11" ht="21.75" customHeight="1" x14ac:dyDescent="0.25">
      <c r="A23" s="6" t="s">
        <v>297</v>
      </c>
      <c r="B23" s="7" t="s">
        <v>301</v>
      </c>
      <c r="C23" s="8">
        <f>C20</f>
        <v>14</v>
      </c>
      <c r="D23" s="9">
        <v>10</v>
      </c>
      <c r="E23" s="16">
        <f t="shared" ref="E23" si="7">C23*D23</f>
        <v>140</v>
      </c>
      <c r="F23" s="17">
        <f>E23/SUM($E$23)</f>
        <v>1</v>
      </c>
      <c r="G23" s="18">
        <f t="shared" ref="G23" si="8">E23*$D$7</f>
        <v>734.42599999999993</v>
      </c>
      <c r="H23" s="18">
        <f t="shared" ref="H23" si="9">($D$5*$D$7)*F23</f>
        <v>472.13099999999997</v>
      </c>
      <c r="I23" s="12">
        <f t="shared" ref="I23" si="10">$D$6*F23</f>
        <v>350</v>
      </c>
      <c r="J23" s="13">
        <f t="shared" ref="J23" si="11">IFERROR((G23+H23+I23)/(C23*10),0)</f>
        <v>11.118264285714284</v>
      </c>
      <c r="K23" s="14">
        <v>0</v>
      </c>
    </row>
    <row r="24" spans="1:11" x14ac:dyDescent="0.25">
      <c r="A24" s="62" t="s">
        <v>26</v>
      </c>
      <c r="B24" s="62"/>
      <c r="C24" s="60">
        <f>SUM(C23)</f>
        <v>14</v>
      </c>
      <c r="D24" s="57"/>
      <c r="E24" s="19">
        <f>SUM(E14:E23)</f>
        <v>2063</v>
      </c>
      <c r="F24" s="59">
        <f>SUM(F23)</f>
        <v>1</v>
      </c>
      <c r="G24" s="20">
        <f>SUM(G23)</f>
        <v>734.42599999999993</v>
      </c>
      <c r="H24" s="20">
        <f>SUM(H14:H23)</f>
        <v>1145.1539154929578</v>
      </c>
      <c r="I24" s="20">
        <f>SUM(I14:I23)</f>
        <v>848.92512972572285</v>
      </c>
      <c r="J24" s="74">
        <f>(SUM(G23:I23)+D5*D7+D6)/SUM(C23)/10</f>
        <v>16.990628571428569</v>
      </c>
    </row>
    <row r="25" spans="1:11" x14ac:dyDescent="0.25">
      <c r="G25" s="75"/>
    </row>
    <row r="29" spans="1:11" ht="21.75" customHeight="1" x14ac:dyDescent="0.25">
      <c r="A29" s="5" t="s">
        <v>11</v>
      </c>
      <c r="B29" s="5" t="s">
        <v>27</v>
      </c>
      <c r="C29" s="5" t="s">
        <v>28</v>
      </c>
      <c r="D29" s="5" t="s">
        <v>29</v>
      </c>
      <c r="E29" s="5" t="s">
        <v>30</v>
      </c>
      <c r="F29" s="5" t="s">
        <v>31</v>
      </c>
      <c r="G29" s="5" t="s">
        <v>32</v>
      </c>
    </row>
    <row r="30" spans="1:11" ht="21.75" hidden="1" customHeight="1" x14ac:dyDescent="0.25">
      <c r="A30" s="6" t="s">
        <v>22</v>
      </c>
      <c r="B30" s="21">
        <f>IFERROR(J10,0)</f>
        <v>0</v>
      </c>
      <c r="C30" s="22">
        <f>K10</f>
        <v>299</v>
      </c>
      <c r="D30" s="23">
        <f>C30-B30</f>
        <v>299</v>
      </c>
      <c r="E30" s="24">
        <f>IFERROR(C30/B30-1,0)</f>
        <v>0</v>
      </c>
      <c r="F30" s="25">
        <f>IFERROR(D30/C30,0)</f>
        <v>1</v>
      </c>
      <c r="G30" s="26" t="str">
        <f>IF(F30&gt;=0.7,"🚀 Excelente",IF(F30&gt;=0.5,"✅ Ótima",IF(F30&gt;=0.35,"⚠ Boa","🔴 Baixa")))</f>
        <v>🚀 Excelente</v>
      </c>
    </row>
    <row r="31" spans="1:11" ht="21.75" customHeight="1" x14ac:dyDescent="0.25">
      <c r="A31" s="4" t="s">
        <v>24</v>
      </c>
      <c r="B31" s="21">
        <f>IFERROR(J11,0)</f>
        <v>70.264048332097843</v>
      </c>
      <c r="C31" s="22">
        <f>K11</f>
        <v>399</v>
      </c>
      <c r="D31" s="23">
        <f t="shared" ref="D31:D38" si="12">C31-B31</f>
        <v>328.73595166790216</v>
      </c>
      <c r="E31" s="24">
        <f t="shared" ref="E31:E38" si="13">IFERROR(C31/B31-1,0)</f>
        <v>4.6785797213698235</v>
      </c>
      <c r="F31" s="25">
        <f t="shared" ref="F31:F38" si="14">IFERROR(D31/C31,0)</f>
        <v>0.82389962824035623</v>
      </c>
      <c r="G31" s="26" t="str">
        <f t="shared" ref="G31:G38" si="15">IF(F31&gt;=0.7,"🚀 Excelente",IF(F31&gt;=0.5,"✅ Ótima",IF(F31&gt;=0.35,"⚠ Boa","🔴 Baixa")))</f>
        <v>🚀 Excelente</v>
      </c>
    </row>
    <row r="32" spans="1:11" ht="21.75" customHeight="1" x14ac:dyDescent="0.25">
      <c r="A32" s="6" t="s">
        <v>50</v>
      </c>
      <c r="B32" s="21">
        <f>IFERROR(J12,0)</f>
        <v>20.493680763528538</v>
      </c>
      <c r="C32" s="22">
        <f>K12</f>
        <v>299</v>
      </c>
      <c r="D32" s="23">
        <f t="shared" si="12"/>
        <v>278.50631923647148</v>
      </c>
      <c r="E32" s="24">
        <f t="shared" si="13"/>
        <v>13.589863258342232</v>
      </c>
      <c r="F32" s="25">
        <f t="shared" si="14"/>
        <v>0.9314592616604398</v>
      </c>
      <c r="G32" s="26" t="str">
        <f t="shared" si="15"/>
        <v>🚀 Excelente</v>
      </c>
    </row>
    <row r="33" spans="1:8" ht="21.75" customHeight="1" x14ac:dyDescent="0.25">
      <c r="A33" s="4" t="s">
        <v>52</v>
      </c>
      <c r="B33" s="21">
        <f>IFERROR(J13,0)</f>
        <v>105.39607249814676</v>
      </c>
      <c r="C33" s="22">
        <f>K13</f>
        <v>699</v>
      </c>
      <c r="D33" s="23">
        <f t="shared" si="12"/>
        <v>593.60392750185326</v>
      </c>
      <c r="E33" s="24">
        <f t="shared" si="13"/>
        <v>5.6321256896198948</v>
      </c>
      <c r="F33" s="25">
        <f t="shared" si="14"/>
        <v>0.84921878040322352</v>
      </c>
      <c r="G33" s="26" t="str">
        <f t="shared" si="15"/>
        <v>🚀 Excelente</v>
      </c>
    </row>
    <row r="34" spans="1:8" ht="21.75" hidden="1" customHeight="1" x14ac:dyDescent="0.25">
      <c r="A34" s="6" t="s">
        <v>54</v>
      </c>
      <c r="B34" s="21">
        <f>IFERROR(J14,0)</f>
        <v>0</v>
      </c>
      <c r="C34" s="22">
        <f>K14</f>
        <v>290</v>
      </c>
      <c r="D34" s="23">
        <f t="shared" si="12"/>
        <v>290</v>
      </c>
      <c r="E34" s="24">
        <f t="shared" si="13"/>
        <v>0</v>
      </c>
      <c r="F34" s="25">
        <f t="shared" si="14"/>
        <v>1</v>
      </c>
      <c r="G34" s="26" t="str">
        <f t="shared" si="15"/>
        <v>🚀 Excelente</v>
      </c>
    </row>
    <row r="35" spans="1:8" ht="21.75" customHeight="1" x14ac:dyDescent="0.25">
      <c r="A35" s="4" t="s">
        <v>305</v>
      </c>
      <c r="B35" s="21">
        <f>IFERROR(J15,0)</f>
        <v>93.685397776130458</v>
      </c>
      <c r="C35" s="22">
        <f>K15</f>
        <v>520</v>
      </c>
      <c r="D35" s="23">
        <f t="shared" si="12"/>
        <v>426.31460222386954</v>
      </c>
      <c r="E35" s="24">
        <f t="shared" si="13"/>
        <v>4.5504914569780235</v>
      </c>
      <c r="F35" s="25">
        <f t="shared" si="14"/>
        <v>0.81983577350744141</v>
      </c>
      <c r="G35" s="26" t="str">
        <f t="shared" si="15"/>
        <v>🚀 Excelente</v>
      </c>
    </row>
    <row r="36" spans="1:8" ht="21.75" hidden="1" customHeight="1" x14ac:dyDescent="0.25">
      <c r="A36" s="6" t="s">
        <v>58</v>
      </c>
      <c r="B36" s="21">
        <f>IFERROR(J16,0)</f>
        <v>0</v>
      </c>
      <c r="C36" s="22">
        <f>K16</f>
        <v>249</v>
      </c>
      <c r="D36" s="23">
        <f t="shared" si="12"/>
        <v>249</v>
      </c>
      <c r="E36" s="24">
        <f t="shared" si="13"/>
        <v>0</v>
      </c>
      <c r="F36" s="25">
        <f t="shared" si="14"/>
        <v>1</v>
      </c>
      <c r="G36" s="26" t="str">
        <f t="shared" si="15"/>
        <v>🚀 Excelente</v>
      </c>
    </row>
    <row r="37" spans="1:8" ht="21.75" customHeight="1" x14ac:dyDescent="0.25">
      <c r="A37" s="4" t="s">
        <v>60</v>
      </c>
      <c r="B37" s="21">
        <f>IFERROR(J17,0)</f>
        <v>29.276686805040772</v>
      </c>
      <c r="C37" s="22">
        <f>K17</f>
        <v>280</v>
      </c>
      <c r="D37" s="23">
        <f t="shared" si="12"/>
        <v>250.72331319495922</v>
      </c>
      <c r="E37" s="24">
        <f t="shared" si="13"/>
        <v>8.5639237412544382</v>
      </c>
      <c r="F37" s="25">
        <f t="shared" si="14"/>
        <v>0.89544040426771154</v>
      </c>
      <c r="G37" s="26" t="str">
        <f t="shared" si="15"/>
        <v>🚀 Excelente</v>
      </c>
    </row>
    <row r="38" spans="1:8" ht="21.75" customHeight="1" x14ac:dyDescent="0.25">
      <c r="A38" s="6" t="s">
        <v>62</v>
      </c>
      <c r="B38" s="21">
        <f>IFERROR(J19,0)</f>
        <v>25.763484388435877</v>
      </c>
      <c r="C38" s="22">
        <f>K19</f>
        <v>199</v>
      </c>
      <c r="D38" s="23">
        <f t="shared" si="12"/>
        <v>173.23651561156413</v>
      </c>
      <c r="E38" s="24">
        <f t="shared" si="13"/>
        <v>6.7241104890813048</v>
      </c>
      <c r="F38" s="25">
        <f t="shared" si="14"/>
        <v>0.87053525432946799</v>
      </c>
      <c r="G38" s="26" t="str">
        <f t="shared" si="15"/>
        <v>🚀 Excelente</v>
      </c>
    </row>
    <row r="40" spans="1:8" ht="21.75" customHeight="1" x14ac:dyDescent="0.25">
      <c r="A40" s="66" t="s">
        <v>33</v>
      </c>
      <c r="B40" s="66"/>
      <c r="C40" s="66"/>
      <c r="D40" s="66"/>
      <c r="E40" s="66"/>
      <c r="F40" s="66"/>
      <c r="G40" s="66"/>
    </row>
    <row r="41" spans="1:8" ht="21.75" hidden="1" customHeight="1" x14ac:dyDescent="0.25">
      <c r="A41" s="6" t="s">
        <v>22</v>
      </c>
      <c r="B41" s="28" t="s">
        <v>34</v>
      </c>
      <c r="C41" s="29">
        <f t="shared" ref="C41:C48" si="16">IFERROR(J10*C10*10,0)</f>
        <v>0</v>
      </c>
      <c r="D41" s="30" t="s">
        <v>35</v>
      </c>
      <c r="E41" s="23">
        <f t="shared" ref="E41:E48" si="17">K10*C10*10</f>
        <v>0</v>
      </c>
      <c r="F41" s="30" t="s">
        <v>36</v>
      </c>
      <c r="G41" s="31">
        <f t="shared" ref="G41:G48" si="18">IFERROR(ROUNDUP(J10*C10*10/K10,0),0)</f>
        <v>0</v>
      </c>
      <c r="H41" s="30" t="s">
        <v>37</v>
      </c>
    </row>
    <row r="42" spans="1:8" ht="21.75" customHeight="1" x14ac:dyDescent="0.25">
      <c r="A42" s="4" t="s">
        <v>24</v>
      </c>
      <c r="B42" s="28" t="s">
        <v>34</v>
      </c>
      <c r="C42" s="29">
        <f t="shared" si="16"/>
        <v>1405.2809666419569</v>
      </c>
      <c r="D42" s="30" t="s">
        <v>35</v>
      </c>
      <c r="E42" s="23">
        <f t="shared" si="17"/>
        <v>7980</v>
      </c>
      <c r="F42" s="30" t="s">
        <v>36</v>
      </c>
      <c r="G42" s="31">
        <f t="shared" si="18"/>
        <v>4</v>
      </c>
      <c r="H42" s="30" t="s">
        <v>37</v>
      </c>
    </row>
    <row r="43" spans="1:8" x14ac:dyDescent="0.25">
      <c r="A43" s="6" t="s">
        <v>50</v>
      </c>
      <c r="B43" s="28" t="s">
        <v>34</v>
      </c>
      <c r="C43" s="29">
        <f t="shared" si="16"/>
        <v>1024.6840381764268</v>
      </c>
      <c r="D43" s="30" t="s">
        <v>35</v>
      </c>
      <c r="E43" s="23">
        <f t="shared" si="17"/>
        <v>14950</v>
      </c>
      <c r="F43" s="30" t="s">
        <v>36</v>
      </c>
      <c r="G43" s="31">
        <f t="shared" si="18"/>
        <v>4</v>
      </c>
      <c r="H43" s="30" t="s">
        <v>37</v>
      </c>
    </row>
    <row r="44" spans="1:8" x14ac:dyDescent="0.25">
      <c r="A44" s="4" t="s">
        <v>52</v>
      </c>
      <c r="B44" s="28" t="s">
        <v>34</v>
      </c>
      <c r="C44" s="29">
        <f t="shared" si="16"/>
        <v>2107.9214499629352</v>
      </c>
      <c r="D44" s="30" t="s">
        <v>35</v>
      </c>
      <c r="E44" s="23">
        <f t="shared" si="17"/>
        <v>13980</v>
      </c>
      <c r="F44" s="30" t="s">
        <v>36</v>
      </c>
      <c r="G44" s="31">
        <f t="shared" si="18"/>
        <v>4</v>
      </c>
      <c r="H44" s="30" t="s">
        <v>37</v>
      </c>
    </row>
    <row r="45" spans="1:8" hidden="1" x14ac:dyDescent="0.25">
      <c r="A45" s="6" t="s">
        <v>54</v>
      </c>
      <c r="B45" s="28" t="s">
        <v>34</v>
      </c>
      <c r="C45" s="29">
        <f t="shared" si="16"/>
        <v>0</v>
      </c>
      <c r="D45" s="30" t="s">
        <v>35</v>
      </c>
      <c r="E45" s="23">
        <f t="shared" si="17"/>
        <v>0</v>
      </c>
      <c r="F45" s="30" t="s">
        <v>36</v>
      </c>
      <c r="G45" s="31">
        <f t="shared" si="18"/>
        <v>0</v>
      </c>
      <c r="H45" s="30" t="s">
        <v>37</v>
      </c>
    </row>
    <row r="46" spans="1:8" x14ac:dyDescent="0.25">
      <c r="A46" s="4" t="s">
        <v>56</v>
      </c>
      <c r="B46" s="28" t="s">
        <v>34</v>
      </c>
      <c r="C46" s="29">
        <f t="shared" si="16"/>
        <v>2810.5619332839137</v>
      </c>
      <c r="D46" s="30" t="s">
        <v>35</v>
      </c>
      <c r="E46" s="23">
        <f t="shared" si="17"/>
        <v>15600</v>
      </c>
      <c r="F46" s="30" t="s">
        <v>36</v>
      </c>
      <c r="G46" s="31">
        <f t="shared" si="18"/>
        <v>6</v>
      </c>
      <c r="H46" s="30" t="s">
        <v>37</v>
      </c>
    </row>
    <row r="47" spans="1:8" hidden="1" x14ac:dyDescent="0.25">
      <c r="A47" s="6" t="s">
        <v>58</v>
      </c>
      <c r="B47" s="28" t="s">
        <v>34</v>
      </c>
      <c r="C47" s="29">
        <f t="shared" si="16"/>
        <v>0</v>
      </c>
      <c r="D47" s="30" t="s">
        <v>35</v>
      </c>
      <c r="E47" s="23">
        <f t="shared" si="17"/>
        <v>0</v>
      </c>
      <c r="F47" s="30" t="s">
        <v>36</v>
      </c>
      <c r="G47" s="31">
        <f t="shared" si="18"/>
        <v>0</v>
      </c>
      <c r="H47" s="30" t="s">
        <v>37</v>
      </c>
    </row>
    <row r="48" spans="1:8" x14ac:dyDescent="0.25">
      <c r="A48" s="4" t="s">
        <v>60</v>
      </c>
      <c r="B48" s="28" t="s">
        <v>34</v>
      </c>
      <c r="C48" s="29">
        <f t="shared" si="16"/>
        <v>292.76686805040771</v>
      </c>
      <c r="D48" s="30" t="s">
        <v>35</v>
      </c>
      <c r="E48" s="23">
        <f t="shared" si="17"/>
        <v>2800</v>
      </c>
      <c r="F48" s="30" t="s">
        <v>36</v>
      </c>
      <c r="G48" s="31">
        <f t="shared" si="18"/>
        <v>2</v>
      </c>
      <c r="H48" s="30" t="s">
        <v>37</v>
      </c>
    </row>
    <row r="49" spans="1:8" x14ac:dyDescent="0.25">
      <c r="A49" s="6" t="s">
        <v>62</v>
      </c>
      <c r="B49" s="28" t="s">
        <v>34</v>
      </c>
      <c r="C49" s="29">
        <f t="shared" ref="C49" si="19">IFERROR(J19*C19*10,0)</f>
        <v>257.63484388435876</v>
      </c>
      <c r="D49" s="30" t="s">
        <v>35</v>
      </c>
      <c r="E49" s="23">
        <f t="shared" ref="E49" si="20">K19*C19*10</f>
        <v>1990</v>
      </c>
      <c r="F49" s="30" t="s">
        <v>36</v>
      </c>
      <c r="G49" s="31">
        <f t="shared" ref="G49" si="21">IFERROR(ROUNDUP(J19*C19*10/K19,0),0)</f>
        <v>2</v>
      </c>
      <c r="H49" s="30" t="s">
        <v>37</v>
      </c>
    </row>
    <row r="50" spans="1:8" x14ac:dyDescent="0.25">
      <c r="A50" s="62" t="s">
        <v>26</v>
      </c>
      <c r="B50" s="62"/>
      <c r="C50" s="20">
        <f>SUM(C41:C49)</f>
        <v>7898.8500999999997</v>
      </c>
      <c r="D50" s="57"/>
      <c r="E50" s="20">
        <f>SUM(E41:E49)</f>
        <v>57300</v>
      </c>
      <c r="F50" s="58"/>
      <c r="G50" s="58"/>
    </row>
    <row r="52" spans="1:8" x14ac:dyDescent="0.25">
      <c r="D52" s="61" t="s">
        <v>296</v>
      </c>
    </row>
  </sheetData>
  <autoFilter ref="A29:G38" xr:uid="{00000000-0001-0000-0000-000000000000}">
    <filterColumn colId="1">
      <filters>
        <filter val="R$107,89"/>
        <filter val="R$20,98"/>
        <filter val="R$26,37"/>
        <filter val="R$29,97"/>
        <filter val="R$59,94"/>
        <filter val="R$71,93"/>
      </filters>
    </filterColumn>
  </autoFilter>
  <mergeCells count="18">
    <mergeCell ref="A1:K1"/>
    <mergeCell ref="A2:K2"/>
    <mergeCell ref="A4:C4"/>
    <mergeCell ref="D4:E4"/>
    <mergeCell ref="F4:G4"/>
    <mergeCell ref="A5:C5"/>
    <mergeCell ref="D5:E5"/>
    <mergeCell ref="F5:G5"/>
    <mergeCell ref="A6:C6"/>
    <mergeCell ref="D6:E6"/>
    <mergeCell ref="F6:G6"/>
    <mergeCell ref="A50:B50"/>
    <mergeCell ref="A20:B20"/>
    <mergeCell ref="A7:C7"/>
    <mergeCell ref="D7:E7"/>
    <mergeCell ref="F7:G7"/>
    <mergeCell ref="A40:G40"/>
    <mergeCell ref="A24:B24"/>
  </mergeCells>
  <conditionalFormatting sqref="F30:F38">
    <cfRule type="colorScale" priority="2">
      <colorScale>
        <cfvo type="num" val="0.3"/>
        <cfvo type="num" val="0.55000000000000004"/>
        <cfvo type="num" val="0.85"/>
        <color rgb="FFFF6B6B"/>
        <color rgb="FFFFD93D"/>
        <color rgb="FF6BCB77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showGridLines="0" topLeftCell="A3" zoomScaleNormal="100" workbookViewId="0">
      <selection activeCell="C24" sqref="C24"/>
    </sheetView>
  </sheetViews>
  <sheetFormatPr defaultColWidth="8.7109375" defaultRowHeight="15" x14ac:dyDescent="0.25"/>
  <cols>
    <col min="1" max="1" width="22" customWidth="1"/>
    <col min="2" max="2" width="11" customWidth="1"/>
    <col min="3" max="3" width="13" customWidth="1"/>
    <col min="4" max="4" width="15" customWidth="1"/>
    <col min="5" max="5" width="16" customWidth="1"/>
    <col min="6" max="6" width="13" customWidth="1"/>
    <col min="7" max="7" width="14" customWidth="1"/>
    <col min="8" max="9" width="11" customWidth="1"/>
    <col min="10" max="10" width="14" customWidth="1"/>
  </cols>
  <sheetData>
    <row r="1" spans="1:10" ht="27.75" customHeight="1" x14ac:dyDescent="0.25">
      <c r="A1" s="69" t="s">
        <v>38</v>
      </c>
      <c r="B1" s="69"/>
      <c r="C1" s="69"/>
      <c r="D1" s="69"/>
      <c r="E1" s="69"/>
      <c r="F1" s="69"/>
      <c r="G1" s="69"/>
      <c r="H1" s="69"/>
      <c r="I1" s="69"/>
      <c r="J1" s="69"/>
    </row>
    <row r="2" spans="1:10" ht="15.75" customHeight="1" x14ac:dyDescent="0.25">
      <c r="A2" s="70" t="s">
        <v>39</v>
      </c>
      <c r="B2" s="70"/>
      <c r="C2" s="70"/>
      <c r="D2" s="70"/>
      <c r="E2" s="70"/>
      <c r="F2" s="70"/>
      <c r="G2" s="70"/>
      <c r="H2" s="70"/>
      <c r="I2" s="70"/>
      <c r="J2" s="70"/>
    </row>
    <row r="4" spans="1:10" ht="21.75" customHeight="1" x14ac:dyDescent="0.25">
      <c r="A4" s="71" t="s">
        <v>40</v>
      </c>
      <c r="B4" s="71"/>
    </row>
    <row r="5" spans="1:10" ht="19.5" customHeight="1" x14ac:dyDescent="0.25">
      <c r="A5" s="73" t="s">
        <v>9</v>
      </c>
      <c r="B5" s="73"/>
      <c r="C5" s="1">
        <v>5.8</v>
      </c>
    </row>
    <row r="6" spans="1:10" ht="19.5" customHeight="1" x14ac:dyDescent="0.25">
      <c r="A6" s="73" t="s">
        <v>41</v>
      </c>
      <c r="B6" s="73"/>
      <c r="C6" s="3">
        <v>90</v>
      </c>
    </row>
    <row r="7" spans="1:10" ht="19.5" customHeight="1" x14ac:dyDescent="0.25">
      <c r="A7" s="73" t="s">
        <v>42</v>
      </c>
      <c r="B7" s="73"/>
      <c r="C7" s="2">
        <v>350</v>
      </c>
    </row>
    <row r="8" spans="1:10" ht="19.5" customHeight="1" x14ac:dyDescent="0.25">
      <c r="A8" s="73" t="s">
        <v>43</v>
      </c>
      <c r="B8" s="73"/>
      <c r="C8" s="8">
        <v>9</v>
      </c>
    </row>
    <row r="10" spans="1:10" ht="36" customHeight="1" x14ac:dyDescent="0.25">
      <c r="A10" s="5" t="s">
        <v>11</v>
      </c>
      <c r="B10" s="5" t="s">
        <v>44</v>
      </c>
      <c r="C10" s="5" t="s">
        <v>14</v>
      </c>
      <c r="D10" s="5" t="s">
        <v>45</v>
      </c>
      <c r="E10" s="5" t="s">
        <v>46</v>
      </c>
      <c r="F10" s="5" t="s">
        <v>21</v>
      </c>
      <c r="G10" s="5" t="s">
        <v>47</v>
      </c>
      <c r="H10" s="5" t="s">
        <v>48</v>
      </c>
      <c r="I10" s="5" t="s">
        <v>49</v>
      </c>
      <c r="J10" s="5" t="s">
        <v>32</v>
      </c>
    </row>
    <row r="11" spans="1:10" ht="21.75" customHeight="1" x14ac:dyDescent="0.25">
      <c r="A11" s="6" t="s">
        <v>22</v>
      </c>
      <c r="B11" s="7" t="s">
        <v>23</v>
      </c>
      <c r="C11" s="9">
        <v>70</v>
      </c>
      <c r="D11" s="32">
        <f t="shared" ref="D11:D19" si="0">C11/10*$C$5</f>
        <v>40.6</v>
      </c>
      <c r="E11" s="33">
        <f t="shared" ref="E11:E19" si="1">D11+($C$6*$C$5+$C$7)/$C$8/10</f>
        <v>50.288888888888891</v>
      </c>
      <c r="F11" s="22">
        <v>299</v>
      </c>
      <c r="G11" s="23">
        <f t="shared" ref="G11:G19" si="2">F11-E11</f>
        <v>248.71111111111111</v>
      </c>
      <c r="H11" s="34">
        <f t="shared" ref="H11:H19" si="3">IFERROR(F11/E11-1,0)</f>
        <v>4.9456473707467961</v>
      </c>
      <c r="I11" s="25">
        <f t="shared" ref="I11:I19" si="4">G11/F11</f>
        <v>0.83180973615756226</v>
      </c>
      <c r="J11" s="26" t="str">
        <f t="shared" ref="J11:J19" si="5">IF(I11&gt;=0.7,"🚀 Excelente",IF(I11&gt;=0.5,"✅ Ótima",IF(I11&gt;=0.35,"⚠ Boa","🔴 Baixa")))</f>
        <v>🚀 Excelente</v>
      </c>
    </row>
    <row r="12" spans="1:10" ht="21.75" customHeight="1" x14ac:dyDescent="0.25">
      <c r="A12" s="4" t="s">
        <v>24</v>
      </c>
      <c r="B12" s="15" t="s">
        <v>25</v>
      </c>
      <c r="C12" s="9">
        <v>120</v>
      </c>
      <c r="D12" s="35">
        <f t="shared" si="0"/>
        <v>69.599999999999994</v>
      </c>
      <c r="E12" s="33">
        <f t="shared" si="1"/>
        <v>79.288888888888877</v>
      </c>
      <c r="F12" s="22">
        <v>399</v>
      </c>
      <c r="G12" s="23">
        <f t="shared" si="2"/>
        <v>319.71111111111111</v>
      </c>
      <c r="H12" s="34">
        <f t="shared" si="3"/>
        <v>4.0322309417040367</v>
      </c>
      <c r="I12" s="25">
        <f t="shared" si="4"/>
        <v>0.80128098022834859</v>
      </c>
      <c r="J12" s="27" t="str">
        <f t="shared" si="5"/>
        <v>🚀 Excelente</v>
      </c>
    </row>
    <row r="13" spans="1:10" ht="21.75" customHeight="1" x14ac:dyDescent="0.25">
      <c r="A13" s="6" t="s">
        <v>50</v>
      </c>
      <c r="B13" s="7" t="s">
        <v>51</v>
      </c>
      <c r="C13" s="9">
        <v>35</v>
      </c>
      <c r="D13" s="32">
        <f t="shared" si="0"/>
        <v>20.3</v>
      </c>
      <c r="E13" s="33">
        <f t="shared" si="1"/>
        <v>29.988888888888887</v>
      </c>
      <c r="F13" s="22">
        <v>299</v>
      </c>
      <c r="G13" s="23">
        <f t="shared" si="2"/>
        <v>269.01111111111112</v>
      </c>
      <c r="H13" s="34">
        <f t="shared" si="3"/>
        <v>8.9703593923675449</v>
      </c>
      <c r="I13" s="25">
        <f t="shared" si="4"/>
        <v>0.89970271274619107</v>
      </c>
      <c r="J13" s="26" t="str">
        <f t="shared" si="5"/>
        <v>🚀 Excelente</v>
      </c>
    </row>
    <row r="14" spans="1:10" ht="21.75" customHeight="1" x14ac:dyDescent="0.25">
      <c r="A14" s="4" t="s">
        <v>52</v>
      </c>
      <c r="B14" s="15" t="s">
        <v>53</v>
      </c>
      <c r="C14" s="9">
        <v>180</v>
      </c>
      <c r="D14" s="35">
        <f t="shared" si="0"/>
        <v>104.39999999999999</v>
      </c>
      <c r="E14" s="33">
        <f t="shared" si="1"/>
        <v>114.08888888888887</v>
      </c>
      <c r="F14" s="22">
        <v>699</v>
      </c>
      <c r="G14" s="23">
        <f t="shared" si="2"/>
        <v>584.91111111111115</v>
      </c>
      <c r="H14" s="34">
        <f t="shared" si="3"/>
        <v>5.1268017140631095</v>
      </c>
      <c r="I14" s="25">
        <f t="shared" si="4"/>
        <v>0.83678270545223343</v>
      </c>
      <c r="J14" s="27" t="str">
        <f t="shared" si="5"/>
        <v>🚀 Excelente</v>
      </c>
    </row>
    <row r="15" spans="1:10" ht="21.75" customHeight="1" x14ac:dyDescent="0.25">
      <c r="A15" s="6" t="s">
        <v>54</v>
      </c>
      <c r="B15" s="7" t="s">
        <v>55</v>
      </c>
      <c r="C15" s="9">
        <v>50</v>
      </c>
      <c r="D15" s="32">
        <f t="shared" si="0"/>
        <v>29</v>
      </c>
      <c r="E15" s="33">
        <f t="shared" si="1"/>
        <v>38.68888888888889</v>
      </c>
      <c r="F15" s="22">
        <v>290</v>
      </c>
      <c r="G15" s="23">
        <f t="shared" si="2"/>
        <v>251.3111111111111</v>
      </c>
      <c r="H15" s="34">
        <f t="shared" si="3"/>
        <v>6.4956921309592186</v>
      </c>
      <c r="I15" s="25">
        <f t="shared" si="4"/>
        <v>0.86659003831417625</v>
      </c>
      <c r="J15" s="26" t="str">
        <f t="shared" si="5"/>
        <v>🚀 Excelente</v>
      </c>
    </row>
    <row r="16" spans="1:10" ht="21.75" customHeight="1" x14ac:dyDescent="0.25">
      <c r="A16" s="4" t="s">
        <v>56</v>
      </c>
      <c r="B16" s="15" t="s">
        <v>57</v>
      </c>
      <c r="C16" s="9">
        <v>100</v>
      </c>
      <c r="D16" s="35">
        <f t="shared" si="0"/>
        <v>58</v>
      </c>
      <c r="E16" s="33">
        <f t="shared" si="1"/>
        <v>67.688888888888883</v>
      </c>
      <c r="F16" s="22">
        <v>299</v>
      </c>
      <c r="G16" s="23">
        <f t="shared" si="2"/>
        <v>231.31111111111113</v>
      </c>
      <c r="H16" s="34">
        <f t="shared" si="3"/>
        <v>3.4172685489166126</v>
      </c>
      <c r="I16" s="25">
        <f t="shared" si="4"/>
        <v>0.77361575622445189</v>
      </c>
      <c r="J16" s="27" t="str">
        <f t="shared" si="5"/>
        <v>🚀 Excelente</v>
      </c>
    </row>
    <row r="17" spans="1:10" ht="21.75" customHeight="1" x14ac:dyDescent="0.25">
      <c r="A17" s="6" t="s">
        <v>58</v>
      </c>
      <c r="B17" s="7" t="s">
        <v>59</v>
      </c>
      <c r="C17" s="9">
        <v>40</v>
      </c>
      <c r="D17" s="32">
        <f t="shared" si="0"/>
        <v>23.2</v>
      </c>
      <c r="E17" s="33">
        <f t="shared" si="1"/>
        <v>32.888888888888886</v>
      </c>
      <c r="F17" s="22">
        <v>249</v>
      </c>
      <c r="G17" s="23">
        <f t="shared" si="2"/>
        <v>216.11111111111111</v>
      </c>
      <c r="H17" s="34">
        <f t="shared" si="3"/>
        <v>6.5709459459459465</v>
      </c>
      <c r="I17" s="25">
        <f t="shared" si="4"/>
        <v>0.86791610887996429</v>
      </c>
      <c r="J17" s="26" t="str">
        <f t="shared" si="5"/>
        <v>🚀 Excelente</v>
      </c>
    </row>
    <row r="18" spans="1:10" ht="21.75" customHeight="1" x14ac:dyDescent="0.25">
      <c r="A18" s="4" t="s">
        <v>60</v>
      </c>
      <c r="B18" s="15" t="s">
        <v>61</v>
      </c>
      <c r="C18" s="9">
        <v>50</v>
      </c>
      <c r="D18" s="35">
        <f t="shared" si="0"/>
        <v>29</v>
      </c>
      <c r="E18" s="33">
        <f t="shared" si="1"/>
        <v>38.68888888888889</v>
      </c>
      <c r="F18" s="22">
        <v>280</v>
      </c>
      <c r="G18" s="23">
        <f t="shared" si="2"/>
        <v>241.3111111111111</v>
      </c>
      <c r="H18" s="34">
        <f t="shared" si="3"/>
        <v>6.2372199885123489</v>
      </c>
      <c r="I18" s="25">
        <f t="shared" si="4"/>
        <v>0.86182539682539683</v>
      </c>
      <c r="J18" s="27" t="str">
        <f t="shared" si="5"/>
        <v>🚀 Excelente</v>
      </c>
    </row>
    <row r="19" spans="1:10" ht="21.75" customHeight="1" x14ac:dyDescent="0.25">
      <c r="A19" s="6" t="s">
        <v>62</v>
      </c>
      <c r="B19" s="7" t="s">
        <v>63</v>
      </c>
      <c r="C19" s="9">
        <v>44</v>
      </c>
      <c r="D19" s="32">
        <f t="shared" si="0"/>
        <v>25.52</v>
      </c>
      <c r="E19" s="33">
        <f t="shared" si="1"/>
        <v>35.208888888888886</v>
      </c>
      <c r="F19" s="22">
        <v>199</v>
      </c>
      <c r="G19" s="23">
        <f t="shared" si="2"/>
        <v>163.79111111111112</v>
      </c>
      <c r="H19" s="34">
        <f t="shared" si="3"/>
        <v>4.6519818227720275</v>
      </c>
      <c r="I19" s="25">
        <f t="shared" si="4"/>
        <v>0.82307091010608602</v>
      </c>
      <c r="J19" s="26" t="str">
        <f t="shared" si="5"/>
        <v>🚀 Excelente</v>
      </c>
    </row>
  </sheetData>
  <mergeCells count="7">
    <mergeCell ref="A7:B7"/>
    <mergeCell ref="A8:B8"/>
    <mergeCell ref="A1:J1"/>
    <mergeCell ref="A2:J2"/>
    <mergeCell ref="A4:B4"/>
    <mergeCell ref="A5:B5"/>
    <mergeCell ref="A6:B6"/>
  </mergeCells>
  <conditionalFormatting sqref="I11:I19">
    <cfRule type="colorScale" priority="2">
      <colorScale>
        <cfvo type="num" val="0.3"/>
        <cfvo type="num" val="0.55000000000000004"/>
        <cfvo type="num" val="0.85"/>
        <color rgb="FFFF6B6B"/>
        <color rgb="FFFFD93D"/>
        <color rgb="FF6BCB77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8"/>
  <sheetViews>
    <sheetView showGridLines="0" topLeftCell="A52" zoomScaleNormal="100" workbookViewId="0">
      <selection activeCell="B91" sqref="B91"/>
    </sheetView>
  </sheetViews>
  <sheetFormatPr defaultColWidth="8.7109375" defaultRowHeight="15" x14ac:dyDescent="0.25"/>
  <cols>
    <col min="1" max="1" width="32" customWidth="1"/>
    <col min="2" max="2" width="10" customWidth="1"/>
    <col min="3" max="3" width="14" customWidth="1"/>
    <col min="4" max="5" width="13" customWidth="1"/>
    <col min="6" max="6" width="14" customWidth="1"/>
    <col min="7" max="7" width="12" customWidth="1"/>
  </cols>
  <sheetData>
    <row r="1" spans="1:7" ht="27.75" customHeight="1" x14ac:dyDescent="0.25">
      <c r="A1" s="69" t="s">
        <v>64</v>
      </c>
      <c r="B1" s="69"/>
      <c r="C1" s="69"/>
      <c r="D1" s="69"/>
      <c r="E1" s="69"/>
      <c r="F1" s="69"/>
      <c r="G1" s="69"/>
    </row>
    <row r="3" spans="1:7" ht="31.5" customHeight="1" x14ac:dyDescent="0.25">
      <c r="A3" s="5" t="s">
        <v>65</v>
      </c>
      <c r="B3" s="5" t="s">
        <v>66</v>
      </c>
      <c r="C3" s="5" t="s">
        <v>67</v>
      </c>
      <c r="D3" s="5" t="s">
        <v>68</v>
      </c>
      <c r="E3" s="5" t="s">
        <v>69</v>
      </c>
      <c r="F3" s="5" t="s">
        <v>20</v>
      </c>
      <c r="G3" s="5" t="s">
        <v>70</v>
      </c>
    </row>
    <row r="4" spans="1:7" ht="18" customHeight="1" x14ac:dyDescent="0.25">
      <c r="A4" s="36" t="s">
        <v>71</v>
      </c>
      <c r="B4" s="37" t="s">
        <v>72</v>
      </c>
      <c r="C4" s="38" t="s">
        <v>73</v>
      </c>
      <c r="D4" s="39">
        <v>28</v>
      </c>
      <c r="E4" s="40">
        <f t="shared" ref="E4:E35" si="0">D4/10</f>
        <v>2.8</v>
      </c>
      <c r="F4" s="41">
        <f>E4*'Portfólio — Margem Real'!$C$5</f>
        <v>16.239999999999998</v>
      </c>
      <c r="G4" s="42"/>
    </row>
    <row r="5" spans="1:7" ht="18" customHeight="1" x14ac:dyDescent="0.25">
      <c r="A5" s="43" t="s">
        <v>71</v>
      </c>
      <c r="B5" s="44" t="s">
        <v>74</v>
      </c>
      <c r="C5" s="45" t="s">
        <v>75</v>
      </c>
      <c r="D5" s="46">
        <v>38</v>
      </c>
      <c r="E5" s="47">
        <f t="shared" si="0"/>
        <v>3.8</v>
      </c>
      <c r="F5" s="48">
        <f>E5*'Portfólio — Margem Real'!$C$5</f>
        <v>22.04</v>
      </c>
      <c r="G5" s="49"/>
    </row>
    <row r="6" spans="1:7" ht="18" customHeight="1" x14ac:dyDescent="0.25">
      <c r="A6" s="36" t="s">
        <v>71</v>
      </c>
      <c r="B6" s="37" t="s">
        <v>76</v>
      </c>
      <c r="C6" s="38" t="s">
        <v>77</v>
      </c>
      <c r="D6" s="39">
        <v>55</v>
      </c>
      <c r="E6" s="40">
        <f t="shared" si="0"/>
        <v>5.5</v>
      </c>
      <c r="F6" s="41">
        <f>E6*'Portfólio — Margem Real'!$C$5</f>
        <v>31.9</v>
      </c>
      <c r="G6" s="42"/>
    </row>
    <row r="7" spans="1:7" ht="18" customHeight="1" x14ac:dyDescent="0.25">
      <c r="A7" s="43" t="s">
        <v>71</v>
      </c>
      <c r="B7" s="44" t="s">
        <v>78</v>
      </c>
      <c r="C7" s="45" t="s">
        <v>79</v>
      </c>
      <c r="D7" s="46">
        <v>65</v>
      </c>
      <c r="E7" s="47">
        <f t="shared" si="0"/>
        <v>6.5</v>
      </c>
      <c r="F7" s="48">
        <f>E7*'Portfólio — Margem Real'!$C$5</f>
        <v>37.699999999999996</v>
      </c>
      <c r="G7" s="49"/>
    </row>
    <row r="8" spans="1:7" ht="18" customHeight="1" x14ac:dyDescent="0.25">
      <c r="A8" s="36" t="s">
        <v>71</v>
      </c>
      <c r="B8" s="37" t="s">
        <v>80</v>
      </c>
      <c r="C8" s="38" t="s">
        <v>81</v>
      </c>
      <c r="D8" s="39">
        <v>75</v>
      </c>
      <c r="E8" s="40">
        <f t="shared" si="0"/>
        <v>7.5</v>
      </c>
      <c r="F8" s="41">
        <f>E8*'Portfólio — Margem Real'!$C$5</f>
        <v>43.5</v>
      </c>
      <c r="G8" s="42"/>
    </row>
    <row r="9" spans="1:7" ht="18" customHeight="1" x14ac:dyDescent="0.25">
      <c r="A9" s="43" t="s">
        <v>71</v>
      </c>
      <c r="B9" s="44" t="s">
        <v>82</v>
      </c>
      <c r="C9" s="45" t="s">
        <v>83</v>
      </c>
      <c r="D9" s="46">
        <v>90</v>
      </c>
      <c r="E9" s="47">
        <f t="shared" si="0"/>
        <v>9</v>
      </c>
      <c r="F9" s="48">
        <f>E9*'Portfólio — Margem Real'!$C$5</f>
        <v>52.199999999999996</v>
      </c>
      <c r="G9" s="49"/>
    </row>
    <row r="10" spans="1:7" ht="18" customHeight="1" x14ac:dyDescent="0.25">
      <c r="A10" s="36" t="s">
        <v>84</v>
      </c>
      <c r="B10" s="37" t="s">
        <v>85</v>
      </c>
      <c r="C10" s="38" t="s">
        <v>75</v>
      </c>
      <c r="D10" s="39">
        <v>40</v>
      </c>
      <c r="E10" s="40">
        <f t="shared" si="0"/>
        <v>4</v>
      </c>
      <c r="F10" s="41">
        <f>E10*'Portfólio — Margem Real'!$C$5</f>
        <v>23.2</v>
      </c>
      <c r="G10" s="42"/>
    </row>
    <row r="11" spans="1:7" ht="18" customHeight="1" x14ac:dyDescent="0.25">
      <c r="A11" s="43" t="s">
        <v>84</v>
      </c>
      <c r="B11" s="44" t="s">
        <v>86</v>
      </c>
      <c r="C11" s="45" t="s">
        <v>77</v>
      </c>
      <c r="D11" s="46">
        <v>55</v>
      </c>
      <c r="E11" s="47">
        <f t="shared" si="0"/>
        <v>5.5</v>
      </c>
      <c r="F11" s="48">
        <f>E11*'Portfólio — Margem Real'!$C$5</f>
        <v>31.9</v>
      </c>
      <c r="G11" s="49"/>
    </row>
    <row r="12" spans="1:7" ht="18" customHeight="1" x14ac:dyDescent="0.25">
      <c r="A12" s="50" t="s">
        <v>84</v>
      </c>
      <c r="B12" s="51" t="s">
        <v>23</v>
      </c>
      <c r="C12" s="52" t="s">
        <v>79</v>
      </c>
      <c r="D12" s="53">
        <v>70</v>
      </c>
      <c r="E12" s="54">
        <f t="shared" si="0"/>
        <v>7</v>
      </c>
      <c r="F12" s="55">
        <f>E12*'Portfólio — Margem Real'!$C$5</f>
        <v>40.6</v>
      </c>
      <c r="G12" s="56" t="s">
        <v>87</v>
      </c>
    </row>
    <row r="13" spans="1:7" ht="18" customHeight="1" x14ac:dyDescent="0.25">
      <c r="A13" s="43" t="s">
        <v>84</v>
      </c>
      <c r="B13" s="44" t="s">
        <v>88</v>
      </c>
      <c r="C13" s="45" t="s">
        <v>81</v>
      </c>
      <c r="D13" s="46">
        <v>85</v>
      </c>
      <c r="E13" s="47">
        <f t="shared" si="0"/>
        <v>8.5</v>
      </c>
      <c r="F13" s="48">
        <f>E13*'Portfólio — Margem Real'!$C$5</f>
        <v>49.3</v>
      </c>
      <c r="G13" s="49"/>
    </row>
    <row r="14" spans="1:7" ht="18" customHeight="1" x14ac:dyDescent="0.25">
      <c r="A14" s="36" t="s">
        <v>84</v>
      </c>
      <c r="B14" s="37" t="s">
        <v>89</v>
      </c>
      <c r="C14" s="38" t="s">
        <v>83</v>
      </c>
      <c r="D14" s="39">
        <v>100</v>
      </c>
      <c r="E14" s="40">
        <f t="shared" si="0"/>
        <v>10</v>
      </c>
      <c r="F14" s="41">
        <f>E14*'Portfólio — Margem Real'!$C$5</f>
        <v>58</v>
      </c>
      <c r="G14" s="42"/>
    </row>
    <row r="15" spans="1:7" ht="18" customHeight="1" x14ac:dyDescent="0.25">
      <c r="A15" s="43" t="s">
        <v>84</v>
      </c>
      <c r="B15" s="44" t="s">
        <v>90</v>
      </c>
      <c r="C15" s="45" t="s">
        <v>91</v>
      </c>
      <c r="D15" s="46">
        <v>120</v>
      </c>
      <c r="E15" s="47">
        <f t="shared" si="0"/>
        <v>12</v>
      </c>
      <c r="F15" s="48">
        <f>E15*'Portfólio — Margem Real'!$C$5</f>
        <v>69.599999999999994</v>
      </c>
      <c r="G15" s="49"/>
    </row>
    <row r="16" spans="1:7" ht="18" customHeight="1" x14ac:dyDescent="0.25">
      <c r="A16" s="36" t="s">
        <v>84</v>
      </c>
      <c r="B16" s="37" t="s">
        <v>92</v>
      </c>
      <c r="C16" s="38" t="s">
        <v>93</v>
      </c>
      <c r="D16" s="39">
        <v>140</v>
      </c>
      <c r="E16" s="40">
        <f t="shared" si="0"/>
        <v>14</v>
      </c>
      <c r="F16" s="41">
        <f>E16*'Portfólio — Margem Real'!$C$5</f>
        <v>81.2</v>
      </c>
      <c r="G16" s="42"/>
    </row>
    <row r="17" spans="1:7" ht="18" customHeight="1" x14ac:dyDescent="0.25">
      <c r="A17" s="43" t="s">
        <v>84</v>
      </c>
      <c r="B17" s="44" t="s">
        <v>94</v>
      </c>
      <c r="C17" s="45" t="s">
        <v>95</v>
      </c>
      <c r="D17" s="46">
        <v>160</v>
      </c>
      <c r="E17" s="47">
        <f t="shared" si="0"/>
        <v>16</v>
      </c>
      <c r="F17" s="48">
        <f>E17*'Portfólio — Margem Real'!$C$5</f>
        <v>92.8</v>
      </c>
      <c r="G17" s="49"/>
    </row>
    <row r="18" spans="1:7" ht="18" customHeight="1" x14ac:dyDescent="0.25">
      <c r="A18" s="36" t="s">
        <v>84</v>
      </c>
      <c r="B18" s="37" t="s">
        <v>96</v>
      </c>
      <c r="C18" s="38" t="s">
        <v>97</v>
      </c>
      <c r="D18" s="39">
        <v>240</v>
      </c>
      <c r="E18" s="40">
        <f t="shared" si="0"/>
        <v>24</v>
      </c>
      <c r="F18" s="41">
        <f>E18*'Portfólio — Margem Real'!$C$5</f>
        <v>139.19999999999999</v>
      </c>
      <c r="G18" s="42"/>
    </row>
    <row r="19" spans="1:7" ht="18" customHeight="1" x14ac:dyDescent="0.25">
      <c r="A19" s="43" t="s">
        <v>98</v>
      </c>
      <c r="B19" s="44" t="s">
        <v>99</v>
      </c>
      <c r="C19" s="45" t="s">
        <v>75</v>
      </c>
      <c r="D19" s="46">
        <v>50</v>
      </c>
      <c r="E19" s="47">
        <f t="shared" si="0"/>
        <v>5</v>
      </c>
      <c r="F19" s="48">
        <f>E19*'Portfólio — Margem Real'!$C$5</f>
        <v>29</v>
      </c>
      <c r="G19" s="49"/>
    </row>
    <row r="20" spans="1:7" ht="18" customHeight="1" x14ac:dyDescent="0.25">
      <c r="A20" s="36" t="s">
        <v>98</v>
      </c>
      <c r="B20" s="37" t="s">
        <v>100</v>
      </c>
      <c r="C20" s="38" t="s">
        <v>77</v>
      </c>
      <c r="D20" s="39">
        <v>90</v>
      </c>
      <c r="E20" s="40">
        <f t="shared" si="0"/>
        <v>9</v>
      </c>
      <c r="F20" s="41">
        <f>E20*'Portfólio — Margem Real'!$C$5</f>
        <v>52.199999999999996</v>
      </c>
      <c r="G20" s="42"/>
    </row>
    <row r="21" spans="1:7" ht="18" customHeight="1" x14ac:dyDescent="0.25">
      <c r="A21" s="50" t="s">
        <v>98</v>
      </c>
      <c r="B21" s="51" t="s">
        <v>25</v>
      </c>
      <c r="C21" s="52" t="s">
        <v>79</v>
      </c>
      <c r="D21" s="53">
        <v>120</v>
      </c>
      <c r="E21" s="54">
        <f t="shared" si="0"/>
        <v>12</v>
      </c>
      <c r="F21" s="55">
        <f>E21*'Portfólio — Margem Real'!$C$5</f>
        <v>69.599999999999994</v>
      </c>
      <c r="G21" s="56" t="s">
        <v>87</v>
      </c>
    </row>
    <row r="22" spans="1:7" ht="18" customHeight="1" x14ac:dyDescent="0.25">
      <c r="A22" s="36" t="s">
        <v>98</v>
      </c>
      <c r="B22" s="37" t="s">
        <v>101</v>
      </c>
      <c r="C22" s="38" t="s">
        <v>81</v>
      </c>
      <c r="D22" s="39">
        <v>150</v>
      </c>
      <c r="E22" s="40">
        <f t="shared" si="0"/>
        <v>15</v>
      </c>
      <c r="F22" s="41">
        <f>E22*'Portfólio — Margem Real'!$C$5</f>
        <v>87</v>
      </c>
      <c r="G22" s="42"/>
    </row>
    <row r="23" spans="1:7" ht="18" customHeight="1" x14ac:dyDescent="0.25">
      <c r="A23" s="43" t="s">
        <v>98</v>
      </c>
      <c r="B23" s="44" t="s">
        <v>102</v>
      </c>
      <c r="C23" s="45" t="s">
        <v>83</v>
      </c>
      <c r="D23" s="46">
        <v>185</v>
      </c>
      <c r="E23" s="47">
        <f t="shared" si="0"/>
        <v>18.5</v>
      </c>
      <c r="F23" s="48">
        <f>E23*'Portfólio — Margem Real'!$C$5</f>
        <v>107.3</v>
      </c>
      <c r="G23" s="49"/>
    </row>
    <row r="24" spans="1:7" ht="18" customHeight="1" x14ac:dyDescent="0.25">
      <c r="A24" s="36" t="s">
        <v>98</v>
      </c>
      <c r="B24" s="37" t="s">
        <v>103</v>
      </c>
      <c r="C24" s="38" t="s">
        <v>91</v>
      </c>
      <c r="D24" s="39">
        <v>235</v>
      </c>
      <c r="E24" s="40">
        <f t="shared" si="0"/>
        <v>23.5</v>
      </c>
      <c r="F24" s="41">
        <f>E24*'Portfólio — Margem Real'!$C$5</f>
        <v>136.29999999999998</v>
      </c>
      <c r="G24" s="42"/>
    </row>
    <row r="25" spans="1:7" ht="18" customHeight="1" x14ac:dyDescent="0.25">
      <c r="A25" s="43" t="s">
        <v>98</v>
      </c>
      <c r="B25" s="44" t="s">
        <v>104</v>
      </c>
      <c r="C25" s="45" t="s">
        <v>93</v>
      </c>
      <c r="D25" s="46">
        <v>285</v>
      </c>
      <c r="E25" s="47">
        <f t="shared" si="0"/>
        <v>28.5</v>
      </c>
      <c r="F25" s="48">
        <f>E25*'Portfólio — Margem Real'!$C$5</f>
        <v>165.29999999999998</v>
      </c>
      <c r="G25" s="49"/>
    </row>
    <row r="26" spans="1:7" ht="18" customHeight="1" x14ac:dyDescent="0.25">
      <c r="A26" s="36" t="s">
        <v>98</v>
      </c>
      <c r="B26" s="37" t="s">
        <v>105</v>
      </c>
      <c r="C26" s="38" t="s">
        <v>95</v>
      </c>
      <c r="D26" s="39">
        <v>320</v>
      </c>
      <c r="E26" s="40">
        <f t="shared" si="0"/>
        <v>32</v>
      </c>
      <c r="F26" s="41">
        <f>E26*'Portfólio — Margem Real'!$C$5</f>
        <v>185.6</v>
      </c>
      <c r="G26" s="42"/>
    </row>
    <row r="27" spans="1:7" ht="18" customHeight="1" x14ac:dyDescent="0.25">
      <c r="A27" s="43" t="s">
        <v>106</v>
      </c>
      <c r="B27" s="44" t="s">
        <v>107</v>
      </c>
      <c r="C27" s="45" t="s">
        <v>108</v>
      </c>
      <c r="D27" s="46">
        <v>48</v>
      </c>
      <c r="E27" s="47">
        <f t="shared" si="0"/>
        <v>4.8</v>
      </c>
      <c r="F27" s="48">
        <f>E27*'Portfólio — Margem Real'!$C$5</f>
        <v>27.84</v>
      </c>
      <c r="G27" s="49"/>
    </row>
    <row r="28" spans="1:7" ht="18" customHeight="1" x14ac:dyDescent="0.25">
      <c r="A28" s="36" t="s">
        <v>106</v>
      </c>
      <c r="B28" s="37" t="s">
        <v>109</v>
      </c>
      <c r="C28" s="38" t="s">
        <v>110</v>
      </c>
      <c r="D28" s="39">
        <v>55</v>
      </c>
      <c r="E28" s="40">
        <f t="shared" si="0"/>
        <v>5.5</v>
      </c>
      <c r="F28" s="41">
        <f>E28*'Portfólio — Margem Real'!$C$5</f>
        <v>31.9</v>
      </c>
      <c r="G28" s="42"/>
    </row>
    <row r="29" spans="1:7" ht="18" customHeight="1" x14ac:dyDescent="0.25">
      <c r="A29" s="43" t="s">
        <v>106</v>
      </c>
      <c r="B29" s="44" t="s">
        <v>111</v>
      </c>
      <c r="C29" s="45" t="s">
        <v>112</v>
      </c>
      <c r="D29" s="46">
        <v>68</v>
      </c>
      <c r="E29" s="47">
        <f t="shared" si="0"/>
        <v>6.8</v>
      </c>
      <c r="F29" s="48">
        <f>E29*'Portfólio — Margem Real'!$C$5</f>
        <v>39.44</v>
      </c>
      <c r="G29" s="49"/>
    </row>
    <row r="30" spans="1:7" ht="18" customHeight="1" x14ac:dyDescent="0.25">
      <c r="A30" s="36" t="s">
        <v>106</v>
      </c>
      <c r="B30" s="37" t="s">
        <v>113</v>
      </c>
      <c r="C30" s="38" t="s">
        <v>114</v>
      </c>
      <c r="D30" s="39">
        <v>100</v>
      </c>
      <c r="E30" s="40">
        <f t="shared" si="0"/>
        <v>10</v>
      </c>
      <c r="F30" s="41">
        <f>E30*'Portfólio — Margem Real'!$C$5</f>
        <v>58</v>
      </c>
      <c r="G30" s="42"/>
    </row>
    <row r="31" spans="1:7" ht="18" customHeight="1" x14ac:dyDescent="0.25">
      <c r="A31" s="43" t="s">
        <v>106</v>
      </c>
      <c r="B31" s="44" t="s">
        <v>115</v>
      </c>
      <c r="C31" s="45" t="s">
        <v>116</v>
      </c>
      <c r="D31" s="46">
        <v>150</v>
      </c>
      <c r="E31" s="47">
        <f t="shared" si="0"/>
        <v>15</v>
      </c>
      <c r="F31" s="48">
        <f>E31*'Portfólio — Margem Real'!$C$5</f>
        <v>87</v>
      </c>
      <c r="G31" s="49"/>
    </row>
    <row r="32" spans="1:7" ht="18" customHeight="1" x14ac:dyDescent="0.25">
      <c r="A32" s="36" t="s">
        <v>117</v>
      </c>
      <c r="B32" s="37" t="s">
        <v>118</v>
      </c>
      <c r="C32" s="38" t="s">
        <v>77</v>
      </c>
      <c r="D32" s="39">
        <v>45</v>
      </c>
      <c r="E32" s="40">
        <f t="shared" si="0"/>
        <v>4.5</v>
      </c>
      <c r="F32" s="41">
        <f>E32*'Portfólio — Margem Real'!$C$5</f>
        <v>26.099999999999998</v>
      </c>
      <c r="G32" s="42"/>
    </row>
    <row r="33" spans="1:7" ht="18" customHeight="1" x14ac:dyDescent="0.25">
      <c r="A33" s="43" t="s">
        <v>119</v>
      </c>
      <c r="B33" s="44" t="s">
        <v>120</v>
      </c>
      <c r="C33" s="45" t="s">
        <v>77</v>
      </c>
      <c r="D33" s="46">
        <v>45</v>
      </c>
      <c r="E33" s="47">
        <f t="shared" si="0"/>
        <v>4.5</v>
      </c>
      <c r="F33" s="48">
        <f>E33*'Portfólio — Margem Real'!$C$5</f>
        <v>26.099999999999998</v>
      </c>
      <c r="G33" s="49"/>
    </row>
    <row r="34" spans="1:7" ht="18" customHeight="1" x14ac:dyDescent="0.25">
      <c r="A34" s="50" t="s">
        <v>121</v>
      </c>
      <c r="B34" s="51" t="s">
        <v>61</v>
      </c>
      <c r="C34" s="52" t="s">
        <v>77</v>
      </c>
      <c r="D34" s="53">
        <v>50</v>
      </c>
      <c r="E34" s="54">
        <f t="shared" si="0"/>
        <v>5</v>
      </c>
      <c r="F34" s="55">
        <f>E34*'Portfólio — Margem Real'!$C$5</f>
        <v>29</v>
      </c>
      <c r="G34" s="56" t="s">
        <v>87</v>
      </c>
    </row>
    <row r="35" spans="1:7" ht="18" customHeight="1" x14ac:dyDescent="0.25">
      <c r="A35" s="43" t="s">
        <v>122</v>
      </c>
      <c r="B35" s="44" t="s">
        <v>123</v>
      </c>
      <c r="C35" s="45" t="s">
        <v>73</v>
      </c>
      <c r="D35" s="46">
        <v>40</v>
      </c>
      <c r="E35" s="47">
        <f t="shared" si="0"/>
        <v>4</v>
      </c>
      <c r="F35" s="48">
        <f>E35*'Portfólio — Margem Real'!$C$5</f>
        <v>23.2</v>
      </c>
      <c r="G35" s="49"/>
    </row>
    <row r="36" spans="1:7" ht="18" customHeight="1" x14ac:dyDescent="0.25">
      <c r="A36" s="36" t="s">
        <v>124</v>
      </c>
      <c r="B36" s="37" t="s">
        <v>125</v>
      </c>
      <c r="C36" s="38" t="s">
        <v>75</v>
      </c>
      <c r="D36" s="39">
        <v>40</v>
      </c>
      <c r="E36" s="40">
        <f t="shared" ref="E36:E67" si="1">D36/10</f>
        <v>4</v>
      </c>
      <c r="F36" s="41">
        <f>E36*'Portfólio — Margem Real'!$C$5</f>
        <v>23.2</v>
      </c>
      <c r="G36" s="42"/>
    </row>
    <row r="37" spans="1:7" ht="18" customHeight="1" x14ac:dyDescent="0.25">
      <c r="A37" s="43" t="s">
        <v>124</v>
      </c>
      <c r="B37" s="44" t="s">
        <v>126</v>
      </c>
      <c r="C37" s="45" t="s">
        <v>77</v>
      </c>
      <c r="D37" s="46">
        <v>75</v>
      </c>
      <c r="E37" s="47">
        <f t="shared" si="1"/>
        <v>7.5</v>
      </c>
      <c r="F37" s="48">
        <f>E37*'Portfólio — Margem Real'!$C$5</f>
        <v>43.5</v>
      </c>
      <c r="G37" s="49"/>
    </row>
    <row r="38" spans="1:7" ht="18" customHeight="1" x14ac:dyDescent="0.25">
      <c r="A38" s="36" t="s">
        <v>124</v>
      </c>
      <c r="B38" s="37" t="s">
        <v>127</v>
      </c>
      <c r="C38" s="38" t="s">
        <v>79</v>
      </c>
      <c r="D38" s="39">
        <v>105</v>
      </c>
      <c r="E38" s="40">
        <f t="shared" si="1"/>
        <v>10.5</v>
      </c>
      <c r="F38" s="41">
        <f>E38*'Portfólio — Margem Real'!$C$5</f>
        <v>60.9</v>
      </c>
      <c r="G38" s="42"/>
    </row>
    <row r="39" spans="1:7" ht="18" customHeight="1" x14ac:dyDescent="0.25">
      <c r="A39" s="50" t="s">
        <v>128</v>
      </c>
      <c r="B39" s="51" t="s">
        <v>63</v>
      </c>
      <c r="C39" s="52" t="s">
        <v>75</v>
      </c>
      <c r="D39" s="53">
        <v>44</v>
      </c>
      <c r="E39" s="54">
        <f t="shared" si="1"/>
        <v>4.4000000000000004</v>
      </c>
      <c r="F39" s="55">
        <f>E39*'Portfólio — Margem Real'!$C$5</f>
        <v>25.52</v>
      </c>
      <c r="G39" s="56" t="s">
        <v>87</v>
      </c>
    </row>
    <row r="40" spans="1:7" ht="18" customHeight="1" x14ac:dyDescent="0.25">
      <c r="A40" s="36" t="s">
        <v>128</v>
      </c>
      <c r="B40" s="37" t="s">
        <v>129</v>
      </c>
      <c r="C40" s="38" t="s">
        <v>77</v>
      </c>
      <c r="D40" s="39">
        <v>70</v>
      </c>
      <c r="E40" s="40">
        <f t="shared" si="1"/>
        <v>7</v>
      </c>
      <c r="F40" s="41">
        <f>E40*'Portfólio — Margem Real'!$C$5</f>
        <v>40.6</v>
      </c>
      <c r="G40" s="42"/>
    </row>
    <row r="41" spans="1:7" ht="18" customHeight="1" x14ac:dyDescent="0.25">
      <c r="A41" s="43" t="s">
        <v>128</v>
      </c>
      <c r="B41" s="44" t="s">
        <v>130</v>
      </c>
      <c r="C41" s="45" t="s">
        <v>83</v>
      </c>
      <c r="D41" s="46">
        <v>105</v>
      </c>
      <c r="E41" s="47">
        <f t="shared" si="1"/>
        <v>10.5</v>
      </c>
      <c r="F41" s="48">
        <f>E41*'Portfólio — Margem Real'!$C$5</f>
        <v>60.9</v>
      </c>
      <c r="G41" s="49"/>
    </row>
    <row r="42" spans="1:7" ht="18" customHeight="1" x14ac:dyDescent="0.25">
      <c r="A42" s="36" t="s">
        <v>131</v>
      </c>
      <c r="B42" s="37" t="s">
        <v>132</v>
      </c>
      <c r="C42" s="38" t="s">
        <v>83</v>
      </c>
      <c r="D42" s="39">
        <v>150</v>
      </c>
      <c r="E42" s="40">
        <f t="shared" si="1"/>
        <v>15</v>
      </c>
      <c r="F42" s="41">
        <f>E42*'Portfólio — Margem Real'!$C$5</f>
        <v>87</v>
      </c>
      <c r="G42" s="42"/>
    </row>
    <row r="43" spans="1:7" ht="18" customHeight="1" x14ac:dyDescent="0.25">
      <c r="A43" s="43" t="s">
        <v>133</v>
      </c>
      <c r="B43" s="44" t="s">
        <v>134</v>
      </c>
      <c r="C43" s="45" t="s">
        <v>73</v>
      </c>
      <c r="D43" s="46">
        <v>30</v>
      </c>
      <c r="E43" s="47">
        <f t="shared" si="1"/>
        <v>3</v>
      </c>
      <c r="F43" s="48">
        <f>E43*'Portfólio — Margem Real'!$C$5</f>
        <v>17.399999999999999</v>
      </c>
      <c r="G43" s="49"/>
    </row>
    <row r="44" spans="1:7" ht="18" customHeight="1" x14ac:dyDescent="0.25">
      <c r="A44" s="36" t="s">
        <v>133</v>
      </c>
      <c r="B44" s="37" t="s">
        <v>135</v>
      </c>
      <c r="C44" s="38" t="s">
        <v>75</v>
      </c>
      <c r="D44" s="39">
        <v>60</v>
      </c>
      <c r="E44" s="40">
        <f t="shared" si="1"/>
        <v>6</v>
      </c>
      <c r="F44" s="41">
        <f>E44*'Portfólio — Margem Real'!$C$5</f>
        <v>34.799999999999997</v>
      </c>
      <c r="G44" s="42"/>
    </row>
    <row r="45" spans="1:7" ht="18" customHeight="1" x14ac:dyDescent="0.25">
      <c r="A45" s="43" t="s">
        <v>133</v>
      </c>
      <c r="B45" s="44" t="s">
        <v>136</v>
      </c>
      <c r="C45" s="45" t="s">
        <v>77</v>
      </c>
      <c r="D45" s="46">
        <v>90</v>
      </c>
      <c r="E45" s="47">
        <f t="shared" si="1"/>
        <v>9</v>
      </c>
      <c r="F45" s="48">
        <f>E45*'Portfólio — Margem Real'!$C$5</f>
        <v>52.199999999999996</v>
      </c>
      <c r="G45" s="49"/>
    </row>
    <row r="46" spans="1:7" ht="18" customHeight="1" x14ac:dyDescent="0.25">
      <c r="A46" s="50" t="s">
        <v>137</v>
      </c>
      <c r="B46" s="51" t="s">
        <v>59</v>
      </c>
      <c r="C46" s="52" t="s">
        <v>77</v>
      </c>
      <c r="D46" s="53">
        <v>40</v>
      </c>
      <c r="E46" s="54">
        <f t="shared" si="1"/>
        <v>4</v>
      </c>
      <c r="F46" s="55">
        <f>E46*'Portfólio — Margem Real'!$C$5</f>
        <v>23.2</v>
      </c>
      <c r="G46" s="56" t="s">
        <v>87</v>
      </c>
    </row>
    <row r="47" spans="1:7" ht="18" customHeight="1" x14ac:dyDescent="0.25">
      <c r="A47" s="43" t="s">
        <v>137</v>
      </c>
      <c r="B47" s="44" t="s">
        <v>138</v>
      </c>
      <c r="C47" s="45" t="s">
        <v>91</v>
      </c>
      <c r="D47" s="46">
        <v>110</v>
      </c>
      <c r="E47" s="47">
        <f t="shared" si="1"/>
        <v>11</v>
      </c>
      <c r="F47" s="48">
        <f>E47*'Portfólio — Margem Real'!$C$5</f>
        <v>63.8</v>
      </c>
      <c r="G47" s="49"/>
    </row>
    <row r="48" spans="1:7" ht="18" customHeight="1" x14ac:dyDescent="0.25">
      <c r="A48" s="36" t="s">
        <v>137</v>
      </c>
      <c r="B48" s="37" t="s">
        <v>139</v>
      </c>
      <c r="C48" s="38" t="s">
        <v>93</v>
      </c>
      <c r="D48" s="39">
        <v>140</v>
      </c>
      <c r="E48" s="40">
        <f t="shared" si="1"/>
        <v>14</v>
      </c>
      <c r="F48" s="41">
        <f>E48*'Portfólio — Margem Real'!$C$5</f>
        <v>81.2</v>
      </c>
      <c r="G48" s="42"/>
    </row>
    <row r="49" spans="1:7" ht="18" customHeight="1" x14ac:dyDescent="0.25">
      <c r="A49" s="43" t="s">
        <v>140</v>
      </c>
      <c r="B49" s="44" t="s">
        <v>141</v>
      </c>
      <c r="C49" s="45" t="s">
        <v>75</v>
      </c>
      <c r="D49" s="46">
        <v>45</v>
      </c>
      <c r="E49" s="47">
        <f t="shared" si="1"/>
        <v>4.5</v>
      </c>
      <c r="F49" s="48">
        <f>E49*'Portfólio — Margem Real'!$C$5</f>
        <v>26.099999999999998</v>
      </c>
      <c r="G49" s="49"/>
    </row>
    <row r="50" spans="1:7" ht="18" customHeight="1" x14ac:dyDescent="0.25">
      <c r="A50" s="36" t="s">
        <v>140</v>
      </c>
      <c r="B50" s="37" t="s">
        <v>142</v>
      </c>
      <c r="C50" s="38" t="s">
        <v>77</v>
      </c>
      <c r="D50" s="39">
        <v>68</v>
      </c>
      <c r="E50" s="40">
        <f t="shared" si="1"/>
        <v>6.8</v>
      </c>
      <c r="F50" s="41">
        <f>E50*'Portfólio — Margem Real'!$C$5</f>
        <v>39.44</v>
      </c>
      <c r="G50" s="42"/>
    </row>
    <row r="51" spans="1:7" ht="18" customHeight="1" x14ac:dyDescent="0.25">
      <c r="A51" s="43" t="s">
        <v>140</v>
      </c>
      <c r="B51" s="44" t="s">
        <v>143</v>
      </c>
      <c r="C51" s="45" t="s">
        <v>81</v>
      </c>
      <c r="D51" s="46">
        <v>100</v>
      </c>
      <c r="E51" s="47">
        <f t="shared" si="1"/>
        <v>10</v>
      </c>
      <c r="F51" s="48">
        <f>E51*'Portfólio — Margem Real'!$C$5</f>
        <v>58</v>
      </c>
      <c r="G51" s="49"/>
    </row>
    <row r="52" spans="1:7" ht="18" customHeight="1" x14ac:dyDescent="0.25">
      <c r="A52" s="36" t="s">
        <v>144</v>
      </c>
      <c r="B52" s="37" t="s">
        <v>145</v>
      </c>
      <c r="C52" s="38" t="s">
        <v>77</v>
      </c>
      <c r="D52" s="39">
        <v>98</v>
      </c>
      <c r="E52" s="40">
        <f t="shared" si="1"/>
        <v>9.8000000000000007</v>
      </c>
      <c r="F52" s="41">
        <f>E52*'Portfólio — Margem Real'!$C$5</f>
        <v>56.84</v>
      </c>
      <c r="G52" s="42"/>
    </row>
    <row r="53" spans="1:7" ht="18" customHeight="1" x14ac:dyDescent="0.25">
      <c r="A53" s="43" t="s">
        <v>146</v>
      </c>
      <c r="B53" s="44" t="s">
        <v>147</v>
      </c>
      <c r="C53" s="45" t="s">
        <v>81</v>
      </c>
      <c r="D53" s="46">
        <v>160</v>
      </c>
      <c r="E53" s="47">
        <f t="shared" si="1"/>
        <v>16</v>
      </c>
      <c r="F53" s="48">
        <f>E53*'Portfólio — Margem Real'!$C$5</f>
        <v>92.8</v>
      </c>
      <c r="G53" s="49"/>
    </row>
    <row r="54" spans="1:7" ht="18" customHeight="1" x14ac:dyDescent="0.25">
      <c r="A54" s="36" t="s">
        <v>148</v>
      </c>
      <c r="B54" s="37" t="s">
        <v>149</v>
      </c>
      <c r="C54" s="38" t="s">
        <v>150</v>
      </c>
      <c r="D54" s="39">
        <v>50</v>
      </c>
      <c r="E54" s="40">
        <f t="shared" si="1"/>
        <v>5</v>
      </c>
      <c r="F54" s="41">
        <f>E54*'Portfólio — Margem Real'!$C$5</f>
        <v>29</v>
      </c>
      <c r="G54" s="42"/>
    </row>
    <row r="55" spans="1:7" ht="18" customHeight="1" x14ac:dyDescent="0.25">
      <c r="A55" s="43" t="s">
        <v>151</v>
      </c>
      <c r="B55" s="44" t="s">
        <v>152</v>
      </c>
      <c r="C55" s="45" t="s">
        <v>93</v>
      </c>
      <c r="D55" s="46">
        <v>55</v>
      </c>
      <c r="E55" s="47">
        <f t="shared" si="1"/>
        <v>5.5</v>
      </c>
      <c r="F55" s="48">
        <f>E55*'Portfólio — Margem Real'!$C$5</f>
        <v>31.9</v>
      </c>
      <c r="G55" s="49"/>
    </row>
    <row r="56" spans="1:7" ht="18" customHeight="1" x14ac:dyDescent="0.25">
      <c r="A56" s="36" t="s">
        <v>151</v>
      </c>
      <c r="B56" s="37" t="s">
        <v>153</v>
      </c>
      <c r="C56" s="38" t="s">
        <v>97</v>
      </c>
      <c r="D56" s="39">
        <v>105</v>
      </c>
      <c r="E56" s="40">
        <f t="shared" si="1"/>
        <v>10.5</v>
      </c>
      <c r="F56" s="41">
        <f>E56*'Portfólio — Margem Real'!$C$5</f>
        <v>60.9</v>
      </c>
      <c r="G56" s="42"/>
    </row>
    <row r="57" spans="1:7" ht="18" customHeight="1" x14ac:dyDescent="0.25">
      <c r="A57" s="43" t="s">
        <v>154</v>
      </c>
      <c r="B57" s="44" t="s">
        <v>155</v>
      </c>
      <c r="C57" s="45" t="s">
        <v>73</v>
      </c>
      <c r="D57" s="46">
        <v>70</v>
      </c>
      <c r="E57" s="47">
        <f t="shared" si="1"/>
        <v>7</v>
      </c>
      <c r="F57" s="48">
        <f>E57*'Portfólio — Margem Real'!$C$5</f>
        <v>40.6</v>
      </c>
      <c r="G57" s="49"/>
    </row>
    <row r="58" spans="1:7" ht="18" customHeight="1" x14ac:dyDescent="0.25">
      <c r="A58" s="36" t="s">
        <v>154</v>
      </c>
      <c r="B58" s="37" t="s">
        <v>156</v>
      </c>
      <c r="C58" s="38" t="s">
        <v>75</v>
      </c>
      <c r="D58" s="39">
        <v>130</v>
      </c>
      <c r="E58" s="40">
        <f t="shared" si="1"/>
        <v>13</v>
      </c>
      <c r="F58" s="41">
        <f>E58*'Portfólio — Margem Real'!$C$5</f>
        <v>75.399999999999991</v>
      </c>
      <c r="G58" s="42"/>
    </row>
    <row r="59" spans="1:7" ht="18" customHeight="1" x14ac:dyDescent="0.25">
      <c r="A59" s="43" t="s">
        <v>157</v>
      </c>
      <c r="B59" s="44" t="s">
        <v>158</v>
      </c>
      <c r="C59" s="45" t="s">
        <v>75</v>
      </c>
      <c r="D59" s="46">
        <v>44</v>
      </c>
      <c r="E59" s="47">
        <f t="shared" si="1"/>
        <v>4.4000000000000004</v>
      </c>
      <c r="F59" s="48">
        <f>E59*'Portfólio — Margem Real'!$C$5</f>
        <v>25.52</v>
      </c>
      <c r="G59" s="49"/>
    </row>
    <row r="60" spans="1:7" ht="18" customHeight="1" x14ac:dyDescent="0.25">
      <c r="A60" s="36" t="s">
        <v>157</v>
      </c>
      <c r="B60" s="37" t="s">
        <v>159</v>
      </c>
      <c r="C60" s="38" t="s">
        <v>77</v>
      </c>
      <c r="D60" s="39">
        <v>70</v>
      </c>
      <c r="E60" s="40">
        <f t="shared" si="1"/>
        <v>7</v>
      </c>
      <c r="F60" s="41">
        <f>E60*'Portfólio — Margem Real'!$C$5</f>
        <v>40.6</v>
      </c>
      <c r="G60" s="42"/>
    </row>
    <row r="61" spans="1:7" ht="18" customHeight="1" x14ac:dyDescent="0.25">
      <c r="A61" s="43" t="s">
        <v>157</v>
      </c>
      <c r="B61" s="44" t="s">
        <v>160</v>
      </c>
      <c r="C61" s="45" t="s">
        <v>83</v>
      </c>
      <c r="D61" s="46">
        <v>105</v>
      </c>
      <c r="E61" s="47">
        <f t="shared" si="1"/>
        <v>10.5</v>
      </c>
      <c r="F61" s="48">
        <f>E61*'Portfólio — Margem Real'!$C$5</f>
        <v>60.9</v>
      </c>
      <c r="G61" s="49"/>
    </row>
    <row r="62" spans="1:7" ht="18" customHeight="1" x14ac:dyDescent="0.25">
      <c r="A62" s="36" t="s">
        <v>161</v>
      </c>
      <c r="B62" s="37" t="s">
        <v>162</v>
      </c>
      <c r="C62" s="38" t="s">
        <v>83</v>
      </c>
      <c r="D62" s="39">
        <v>150</v>
      </c>
      <c r="E62" s="40">
        <f t="shared" si="1"/>
        <v>15</v>
      </c>
      <c r="F62" s="41">
        <f>E62*'Portfólio — Margem Real'!$C$5</f>
        <v>87</v>
      </c>
      <c r="G62" s="42"/>
    </row>
    <row r="63" spans="1:7" ht="18" customHeight="1" x14ac:dyDescent="0.25">
      <c r="A63" s="43" t="s">
        <v>163</v>
      </c>
      <c r="B63" s="44" t="s">
        <v>164</v>
      </c>
      <c r="C63" s="45" t="s">
        <v>81</v>
      </c>
      <c r="D63" s="46">
        <v>105</v>
      </c>
      <c r="E63" s="47">
        <f t="shared" si="1"/>
        <v>10.5</v>
      </c>
      <c r="F63" s="48">
        <f>E63*'Portfólio — Margem Real'!$C$5</f>
        <v>60.9</v>
      </c>
      <c r="G63" s="49"/>
    </row>
    <row r="64" spans="1:7" ht="18" customHeight="1" x14ac:dyDescent="0.25">
      <c r="A64" s="36" t="s">
        <v>165</v>
      </c>
      <c r="B64" s="37" t="s">
        <v>166</v>
      </c>
      <c r="C64" s="38" t="s">
        <v>77</v>
      </c>
      <c r="D64" s="39">
        <v>85</v>
      </c>
      <c r="E64" s="40">
        <f t="shared" si="1"/>
        <v>8.5</v>
      </c>
      <c r="F64" s="41">
        <f>E64*'Portfólio — Margem Real'!$C$5</f>
        <v>49.3</v>
      </c>
      <c r="G64" s="42"/>
    </row>
    <row r="65" spans="1:7" ht="18" customHeight="1" x14ac:dyDescent="0.25">
      <c r="A65" s="43" t="s">
        <v>165</v>
      </c>
      <c r="B65" s="44" t="s">
        <v>167</v>
      </c>
      <c r="C65" s="45" t="s">
        <v>93</v>
      </c>
      <c r="D65" s="46">
        <v>240</v>
      </c>
      <c r="E65" s="47">
        <f t="shared" si="1"/>
        <v>24</v>
      </c>
      <c r="F65" s="48">
        <f>E65*'Portfólio — Margem Real'!$C$5</f>
        <v>139.19999999999999</v>
      </c>
      <c r="G65" s="49"/>
    </row>
    <row r="66" spans="1:7" ht="18" customHeight="1" x14ac:dyDescent="0.25">
      <c r="A66" s="36" t="s">
        <v>168</v>
      </c>
      <c r="B66" s="37" t="s">
        <v>169</v>
      </c>
      <c r="C66" s="38" t="s">
        <v>75</v>
      </c>
      <c r="D66" s="39">
        <v>30</v>
      </c>
      <c r="E66" s="40">
        <f t="shared" si="1"/>
        <v>3</v>
      </c>
      <c r="F66" s="41">
        <f>E66*'Portfólio — Margem Real'!$C$5</f>
        <v>17.399999999999999</v>
      </c>
      <c r="G66" s="42"/>
    </row>
    <row r="67" spans="1:7" ht="18" customHeight="1" x14ac:dyDescent="0.25">
      <c r="A67" s="43" t="s">
        <v>168</v>
      </c>
      <c r="B67" s="44" t="s">
        <v>170</v>
      </c>
      <c r="C67" s="45" t="s">
        <v>77</v>
      </c>
      <c r="D67" s="46">
        <v>50</v>
      </c>
      <c r="E67" s="47">
        <f t="shared" si="1"/>
        <v>5</v>
      </c>
      <c r="F67" s="48">
        <f>E67*'Portfólio — Margem Real'!$C$5</f>
        <v>29</v>
      </c>
      <c r="G67" s="49"/>
    </row>
    <row r="68" spans="1:7" ht="18" customHeight="1" x14ac:dyDescent="0.25">
      <c r="A68" s="36" t="s">
        <v>171</v>
      </c>
      <c r="B68" s="37" t="s">
        <v>172</v>
      </c>
      <c r="C68" s="38" t="s">
        <v>75</v>
      </c>
      <c r="D68" s="39">
        <v>30</v>
      </c>
      <c r="E68" s="40">
        <f t="shared" ref="E68:E99" si="2">D68/10</f>
        <v>3</v>
      </c>
      <c r="F68" s="41">
        <f>E68*'Portfólio — Margem Real'!$C$5</f>
        <v>17.399999999999999</v>
      </c>
      <c r="G68" s="42"/>
    </row>
    <row r="69" spans="1:7" ht="18" customHeight="1" x14ac:dyDescent="0.25">
      <c r="A69" s="43" t="s">
        <v>171</v>
      </c>
      <c r="B69" s="44" t="s">
        <v>173</v>
      </c>
      <c r="C69" s="45" t="s">
        <v>77</v>
      </c>
      <c r="D69" s="46">
        <v>50</v>
      </c>
      <c r="E69" s="47">
        <f t="shared" si="2"/>
        <v>5</v>
      </c>
      <c r="F69" s="48">
        <f>E69*'Portfólio — Margem Real'!$C$5</f>
        <v>29</v>
      </c>
      <c r="G69" s="49"/>
    </row>
    <row r="70" spans="1:7" ht="18" customHeight="1" x14ac:dyDescent="0.25">
      <c r="A70" s="36" t="s">
        <v>174</v>
      </c>
      <c r="B70" s="37" t="s">
        <v>175</v>
      </c>
      <c r="C70" s="38" t="s">
        <v>73</v>
      </c>
      <c r="D70" s="39">
        <v>40</v>
      </c>
      <c r="E70" s="40">
        <f t="shared" si="2"/>
        <v>4</v>
      </c>
      <c r="F70" s="41">
        <f>E70*'Portfólio — Margem Real'!$C$5</f>
        <v>23.2</v>
      </c>
      <c r="G70" s="42"/>
    </row>
    <row r="71" spans="1:7" ht="18" customHeight="1" x14ac:dyDescent="0.25">
      <c r="A71" s="43" t="s">
        <v>174</v>
      </c>
      <c r="B71" s="44" t="s">
        <v>176</v>
      </c>
      <c r="C71" s="45" t="s">
        <v>75</v>
      </c>
      <c r="D71" s="46">
        <v>70</v>
      </c>
      <c r="E71" s="47">
        <f t="shared" si="2"/>
        <v>7</v>
      </c>
      <c r="F71" s="48">
        <f>E71*'Portfólio — Margem Real'!$C$5</f>
        <v>40.6</v>
      </c>
      <c r="G71" s="49"/>
    </row>
    <row r="72" spans="1:7" ht="18" customHeight="1" x14ac:dyDescent="0.25">
      <c r="A72" s="36" t="s">
        <v>174</v>
      </c>
      <c r="B72" s="37" t="s">
        <v>177</v>
      </c>
      <c r="C72" s="38" t="s">
        <v>77</v>
      </c>
      <c r="D72" s="39">
        <v>130</v>
      </c>
      <c r="E72" s="40">
        <f t="shared" si="2"/>
        <v>13</v>
      </c>
      <c r="F72" s="41">
        <f>E72*'Portfólio — Margem Real'!$C$5</f>
        <v>75.399999999999991</v>
      </c>
      <c r="G72" s="42"/>
    </row>
    <row r="73" spans="1:7" ht="18" customHeight="1" x14ac:dyDescent="0.25">
      <c r="A73" s="43" t="s">
        <v>178</v>
      </c>
      <c r="B73" s="44" t="s">
        <v>179</v>
      </c>
      <c r="C73" s="45" t="s">
        <v>77</v>
      </c>
      <c r="D73" s="46">
        <v>90</v>
      </c>
      <c r="E73" s="47">
        <f t="shared" si="2"/>
        <v>9</v>
      </c>
      <c r="F73" s="48">
        <f>E73*'Portfólio — Margem Real'!$C$5</f>
        <v>52.199999999999996</v>
      </c>
      <c r="G73" s="49"/>
    </row>
    <row r="74" spans="1:7" ht="18" customHeight="1" x14ac:dyDescent="0.25">
      <c r="A74" s="36" t="s">
        <v>180</v>
      </c>
      <c r="B74" s="37" t="s">
        <v>181</v>
      </c>
      <c r="C74" s="38" t="s">
        <v>73</v>
      </c>
      <c r="D74" s="39">
        <v>80</v>
      </c>
      <c r="E74" s="40">
        <f t="shared" si="2"/>
        <v>8</v>
      </c>
      <c r="F74" s="41">
        <f>E74*'Portfólio — Margem Real'!$C$5</f>
        <v>46.4</v>
      </c>
      <c r="G74" s="42"/>
    </row>
    <row r="75" spans="1:7" ht="18" customHeight="1" x14ac:dyDescent="0.25">
      <c r="A75" s="43" t="s">
        <v>180</v>
      </c>
      <c r="B75" s="44" t="s">
        <v>182</v>
      </c>
      <c r="C75" s="45" t="s">
        <v>75</v>
      </c>
      <c r="D75" s="46">
        <v>130</v>
      </c>
      <c r="E75" s="47">
        <f t="shared" si="2"/>
        <v>13</v>
      </c>
      <c r="F75" s="48">
        <f>E75*'Portfólio — Margem Real'!$C$5</f>
        <v>75.399999999999991</v>
      </c>
      <c r="G75" s="49"/>
    </row>
    <row r="76" spans="1:7" ht="18" customHeight="1" x14ac:dyDescent="0.25">
      <c r="A76" s="36" t="s">
        <v>180</v>
      </c>
      <c r="B76" s="37" t="s">
        <v>183</v>
      </c>
      <c r="C76" s="38" t="s">
        <v>77</v>
      </c>
      <c r="D76" s="39">
        <v>230</v>
      </c>
      <c r="E76" s="40">
        <f t="shared" si="2"/>
        <v>23</v>
      </c>
      <c r="F76" s="41">
        <f>E76*'Portfólio — Margem Real'!$C$5</f>
        <v>133.4</v>
      </c>
      <c r="G76" s="42"/>
    </row>
    <row r="77" spans="1:7" ht="18" customHeight="1" x14ac:dyDescent="0.25">
      <c r="A77" s="43" t="s">
        <v>184</v>
      </c>
      <c r="B77" s="44" t="s">
        <v>185</v>
      </c>
      <c r="C77" s="45" t="s">
        <v>75</v>
      </c>
      <c r="D77" s="46">
        <v>70</v>
      </c>
      <c r="E77" s="47">
        <f t="shared" si="2"/>
        <v>7</v>
      </c>
      <c r="F77" s="48">
        <f>E77*'Portfólio — Margem Real'!$C$5</f>
        <v>40.6</v>
      </c>
      <c r="G77" s="49"/>
    </row>
    <row r="78" spans="1:7" ht="18" customHeight="1" x14ac:dyDescent="0.25">
      <c r="A78" s="36" t="s">
        <v>184</v>
      </c>
      <c r="B78" s="37" t="s">
        <v>186</v>
      </c>
      <c r="C78" s="38" t="s">
        <v>77</v>
      </c>
      <c r="D78" s="39">
        <v>115</v>
      </c>
      <c r="E78" s="40">
        <f t="shared" si="2"/>
        <v>11.5</v>
      </c>
      <c r="F78" s="41">
        <f>E78*'Portfólio — Margem Real'!$C$5</f>
        <v>66.7</v>
      </c>
      <c r="G78" s="42"/>
    </row>
    <row r="79" spans="1:7" ht="18" customHeight="1" x14ac:dyDescent="0.25">
      <c r="A79" s="43" t="s">
        <v>187</v>
      </c>
      <c r="B79" s="44" t="s">
        <v>188</v>
      </c>
      <c r="C79" s="45" t="s">
        <v>77</v>
      </c>
      <c r="D79" s="46">
        <v>100</v>
      </c>
      <c r="E79" s="47">
        <f t="shared" si="2"/>
        <v>10</v>
      </c>
      <c r="F79" s="48">
        <f>E79*'Portfólio — Margem Real'!$C$5</f>
        <v>58</v>
      </c>
      <c r="G79" s="49"/>
    </row>
    <row r="80" spans="1:7" ht="18" customHeight="1" x14ac:dyDescent="0.25">
      <c r="A80" s="36" t="s">
        <v>189</v>
      </c>
      <c r="B80" s="37" t="s">
        <v>190</v>
      </c>
      <c r="C80" s="38" t="s">
        <v>73</v>
      </c>
      <c r="D80" s="39">
        <v>40</v>
      </c>
      <c r="E80" s="40">
        <f t="shared" si="2"/>
        <v>4</v>
      </c>
      <c r="F80" s="41">
        <f>E80*'Portfólio — Margem Real'!$C$5</f>
        <v>23.2</v>
      </c>
      <c r="G80" s="42"/>
    </row>
    <row r="81" spans="1:7" ht="18" customHeight="1" x14ac:dyDescent="0.25">
      <c r="A81" s="43" t="s">
        <v>191</v>
      </c>
      <c r="B81" s="44" t="s">
        <v>192</v>
      </c>
      <c r="C81" s="45" t="s">
        <v>73</v>
      </c>
      <c r="D81" s="46">
        <v>80</v>
      </c>
      <c r="E81" s="47">
        <f t="shared" si="2"/>
        <v>8</v>
      </c>
      <c r="F81" s="48">
        <f>E81*'Portfólio — Margem Real'!$C$5</f>
        <v>46.4</v>
      </c>
      <c r="G81" s="49"/>
    </row>
    <row r="82" spans="1:7" ht="18" customHeight="1" x14ac:dyDescent="0.25">
      <c r="A82" s="36" t="s">
        <v>193</v>
      </c>
      <c r="B82" s="37" t="s">
        <v>194</v>
      </c>
      <c r="C82" s="38" t="s">
        <v>75</v>
      </c>
      <c r="D82" s="39">
        <v>65</v>
      </c>
      <c r="E82" s="40">
        <f t="shared" si="2"/>
        <v>6.5</v>
      </c>
      <c r="F82" s="41">
        <f>E82*'Portfólio — Margem Real'!$C$5</f>
        <v>37.699999999999996</v>
      </c>
      <c r="G82" s="42"/>
    </row>
    <row r="83" spans="1:7" ht="18" customHeight="1" x14ac:dyDescent="0.25">
      <c r="A83" s="43" t="s">
        <v>193</v>
      </c>
      <c r="B83" s="44" t="s">
        <v>195</v>
      </c>
      <c r="C83" s="45" t="s">
        <v>77</v>
      </c>
      <c r="D83" s="46">
        <v>120</v>
      </c>
      <c r="E83" s="47">
        <f t="shared" si="2"/>
        <v>12</v>
      </c>
      <c r="F83" s="48">
        <f>E83*'Portfólio — Margem Real'!$C$5</f>
        <v>69.599999999999994</v>
      </c>
      <c r="G83" s="49"/>
    </row>
    <row r="84" spans="1:7" ht="18" customHeight="1" x14ac:dyDescent="0.25">
      <c r="A84" s="36" t="s">
        <v>196</v>
      </c>
      <c r="B84" s="37" t="s">
        <v>197</v>
      </c>
      <c r="C84" s="38" t="s">
        <v>198</v>
      </c>
      <c r="D84" s="39">
        <v>120</v>
      </c>
      <c r="E84" s="40">
        <f t="shared" si="2"/>
        <v>12</v>
      </c>
      <c r="F84" s="41">
        <f>E84*'Portfólio — Margem Real'!$C$5</f>
        <v>69.599999999999994</v>
      </c>
      <c r="G84" s="42"/>
    </row>
    <row r="85" spans="1:7" ht="18" customHeight="1" x14ac:dyDescent="0.25">
      <c r="A85" s="43" t="s">
        <v>196</v>
      </c>
      <c r="B85" s="44" t="s">
        <v>199</v>
      </c>
      <c r="C85" s="45" t="s">
        <v>200</v>
      </c>
      <c r="D85" s="46">
        <v>65</v>
      </c>
      <c r="E85" s="47">
        <f t="shared" si="2"/>
        <v>6.5</v>
      </c>
      <c r="F85" s="48">
        <f>E85*'Portfólio — Margem Real'!$C$5</f>
        <v>37.699999999999996</v>
      </c>
      <c r="G85" s="49"/>
    </row>
    <row r="86" spans="1:7" ht="18" customHeight="1" x14ac:dyDescent="0.25">
      <c r="A86" s="36" t="s">
        <v>196</v>
      </c>
      <c r="B86" s="37" t="s">
        <v>201</v>
      </c>
      <c r="C86" s="38" t="s">
        <v>202</v>
      </c>
      <c r="D86" s="39">
        <v>48</v>
      </c>
      <c r="E86" s="40">
        <f t="shared" si="2"/>
        <v>4.8</v>
      </c>
      <c r="F86" s="41">
        <f>E86*'Portfólio — Margem Real'!$C$5</f>
        <v>27.84</v>
      </c>
      <c r="G86" s="42"/>
    </row>
    <row r="87" spans="1:7" ht="18" customHeight="1" x14ac:dyDescent="0.25">
      <c r="A87" s="43" t="s">
        <v>203</v>
      </c>
      <c r="B87" s="44" t="s">
        <v>204</v>
      </c>
      <c r="C87" s="45" t="s">
        <v>75</v>
      </c>
      <c r="D87" s="46">
        <v>85</v>
      </c>
      <c r="E87" s="47">
        <f t="shared" si="2"/>
        <v>8.5</v>
      </c>
      <c r="F87" s="48">
        <f>E87*'Portfólio — Margem Real'!$C$5</f>
        <v>49.3</v>
      </c>
      <c r="G87" s="49"/>
    </row>
    <row r="88" spans="1:7" ht="18" customHeight="1" x14ac:dyDescent="0.25">
      <c r="A88" s="36" t="s">
        <v>203</v>
      </c>
      <c r="B88" s="37" t="s">
        <v>205</v>
      </c>
      <c r="C88" s="38" t="s">
        <v>77</v>
      </c>
      <c r="D88" s="39">
        <v>160</v>
      </c>
      <c r="E88" s="40">
        <f t="shared" si="2"/>
        <v>16</v>
      </c>
      <c r="F88" s="41">
        <f>E88*'Portfólio — Margem Real'!$C$5</f>
        <v>92.8</v>
      </c>
      <c r="G88" s="42"/>
    </row>
    <row r="89" spans="1:7" ht="18" customHeight="1" x14ac:dyDescent="0.25">
      <c r="A89" s="43" t="s">
        <v>206</v>
      </c>
      <c r="B89" s="44" t="s">
        <v>207</v>
      </c>
      <c r="C89" s="45" t="s">
        <v>208</v>
      </c>
      <c r="D89" s="46">
        <v>50</v>
      </c>
      <c r="E89" s="47">
        <f t="shared" si="2"/>
        <v>5</v>
      </c>
      <c r="F89" s="48">
        <f>E89*'Portfólio — Margem Real'!$C$5</f>
        <v>29</v>
      </c>
      <c r="G89" s="49"/>
    </row>
    <row r="90" spans="1:7" ht="18" customHeight="1" x14ac:dyDescent="0.25">
      <c r="A90" s="36" t="s">
        <v>206</v>
      </c>
      <c r="B90" s="37" t="s">
        <v>209</v>
      </c>
      <c r="C90" s="38" t="s">
        <v>150</v>
      </c>
      <c r="D90" s="39">
        <v>170</v>
      </c>
      <c r="E90" s="40">
        <f t="shared" si="2"/>
        <v>17</v>
      </c>
      <c r="F90" s="41">
        <f>E90*'Portfólio — Margem Real'!$C$5</f>
        <v>98.6</v>
      </c>
      <c r="G90" s="42"/>
    </row>
    <row r="91" spans="1:7" ht="18" customHeight="1" x14ac:dyDescent="0.25">
      <c r="A91" s="50" t="s">
        <v>210</v>
      </c>
      <c r="B91" s="51" t="s">
        <v>57</v>
      </c>
      <c r="C91" s="52" t="s">
        <v>75</v>
      </c>
      <c r="D91" s="53">
        <v>100</v>
      </c>
      <c r="E91" s="54">
        <f t="shared" si="2"/>
        <v>10</v>
      </c>
      <c r="F91" s="55">
        <f>E91*'Portfólio — Margem Real'!$C$5</f>
        <v>58</v>
      </c>
      <c r="G91" s="56" t="s">
        <v>87</v>
      </c>
    </row>
    <row r="92" spans="1:7" ht="18" customHeight="1" x14ac:dyDescent="0.25">
      <c r="A92" s="36" t="s">
        <v>210</v>
      </c>
      <c r="B92" s="37" t="s">
        <v>211</v>
      </c>
      <c r="C92" s="38" t="s">
        <v>77</v>
      </c>
      <c r="D92" s="39">
        <v>160</v>
      </c>
      <c r="E92" s="40">
        <f t="shared" si="2"/>
        <v>16</v>
      </c>
      <c r="F92" s="41">
        <f>E92*'Portfólio — Margem Real'!$C$5</f>
        <v>92.8</v>
      </c>
      <c r="G92" s="42"/>
    </row>
    <row r="93" spans="1:7" ht="18" customHeight="1" x14ac:dyDescent="0.25">
      <c r="A93" s="43" t="s">
        <v>210</v>
      </c>
      <c r="B93" s="44" t="s">
        <v>212</v>
      </c>
      <c r="C93" s="45" t="s">
        <v>81</v>
      </c>
      <c r="D93" s="46">
        <v>280</v>
      </c>
      <c r="E93" s="47">
        <f t="shared" si="2"/>
        <v>28</v>
      </c>
      <c r="F93" s="48">
        <f>E93*'Portfólio — Margem Real'!$C$5</f>
        <v>162.4</v>
      </c>
      <c r="G93" s="49"/>
    </row>
    <row r="94" spans="1:7" ht="18" customHeight="1" x14ac:dyDescent="0.25">
      <c r="A94" s="36" t="s">
        <v>213</v>
      </c>
      <c r="B94" s="37" t="s">
        <v>214</v>
      </c>
      <c r="C94" s="38" t="s">
        <v>75</v>
      </c>
      <c r="D94" s="39">
        <v>40</v>
      </c>
      <c r="E94" s="40">
        <f t="shared" si="2"/>
        <v>4</v>
      </c>
      <c r="F94" s="41">
        <f>E94*'Portfólio — Margem Real'!$C$5</f>
        <v>23.2</v>
      </c>
      <c r="G94" s="42"/>
    </row>
    <row r="95" spans="1:7" ht="18" customHeight="1" x14ac:dyDescent="0.25">
      <c r="A95" s="43" t="s">
        <v>213</v>
      </c>
      <c r="B95" s="44" t="s">
        <v>215</v>
      </c>
      <c r="C95" s="45" t="s">
        <v>77</v>
      </c>
      <c r="D95" s="46">
        <v>60</v>
      </c>
      <c r="E95" s="47">
        <f t="shared" si="2"/>
        <v>6</v>
      </c>
      <c r="F95" s="48">
        <f>E95*'Portfólio — Margem Real'!$C$5</f>
        <v>34.799999999999997</v>
      </c>
      <c r="G95" s="49"/>
    </row>
    <row r="96" spans="1:7" ht="18" customHeight="1" x14ac:dyDescent="0.25">
      <c r="A96" s="36" t="s">
        <v>216</v>
      </c>
      <c r="B96" s="37" t="s">
        <v>217</v>
      </c>
      <c r="C96" s="38" t="s">
        <v>73</v>
      </c>
      <c r="D96" s="39">
        <v>42</v>
      </c>
      <c r="E96" s="40">
        <f t="shared" si="2"/>
        <v>4.2</v>
      </c>
      <c r="F96" s="41">
        <f>E96*'Portfólio — Margem Real'!$C$5</f>
        <v>24.36</v>
      </c>
      <c r="G96" s="42"/>
    </row>
    <row r="97" spans="1:7" ht="18" customHeight="1" x14ac:dyDescent="0.25">
      <c r="A97" s="43" t="s">
        <v>216</v>
      </c>
      <c r="B97" s="44" t="s">
        <v>218</v>
      </c>
      <c r="C97" s="45" t="s">
        <v>75</v>
      </c>
      <c r="D97" s="46">
        <v>75</v>
      </c>
      <c r="E97" s="47">
        <f t="shared" si="2"/>
        <v>7.5</v>
      </c>
      <c r="F97" s="48">
        <f>E97*'Portfólio — Margem Real'!$C$5</f>
        <v>43.5</v>
      </c>
      <c r="G97" s="49"/>
    </row>
    <row r="98" spans="1:7" ht="18" customHeight="1" x14ac:dyDescent="0.25">
      <c r="A98" s="36" t="s">
        <v>216</v>
      </c>
      <c r="B98" s="37" t="s">
        <v>219</v>
      </c>
      <c r="C98" s="38" t="s">
        <v>77</v>
      </c>
      <c r="D98" s="39">
        <v>150</v>
      </c>
      <c r="E98" s="40">
        <f t="shared" si="2"/>
        <v>15</v>
      </c>
      <c r="F98" s="41">
        <f>E98*'Portfólio — Margem Real'!$C$5</f>
        <v>87</v>
      </c>
      <c r="G98" s="42"/>
    </row>
    <row r="99" spans="1:7" ht="18" customHeight="1" x14ac:dyDescent="0.25">
      <c r="A99" s="50" t="s">
        <v>220</v>
      </c>
      <c r="B99" s="51" t="s">
        <v>51</v>
      </c>
      <c r="C99" s="52" t="s">
        <v>93</v>
      </c>
      <c r="D99" s="53">
        <v>35</v>
      </c>
      <c r="E99" s="54">
        <f t="shared" si="2"/>
        <v>3.5</v>
      </c>
      <c r="F99" s="55">
        <f>E99*'Portfólio — Margem Real'!$C$5</f>
        <v>20.3</v>
      </c>
      <c r="G99" s="56" t="s">
        <v>87</v>
      </c>
    </row>
    <row r="100" spans="1:7" ht="18" customHeight="1" x14ac:dyDescent="0.25">
      <c r="A100" s="36" t="s">
        <v>220</v>
      </c>
      <c r="B100" s="37" t="s">
        <v>221</v>
      </c>
      <c r="C100" s="38" t="s">
        <v>97</v>
      </c>
      <c r="D100" s="39">
        <v>60</v>
      </c>
      <c r="E100" s="40">
        <f t="shared" ref="E100:E131" si="3">D100/10</f>
        <v>6</v>
      </c>
      <c r="F100" s="41">
        <f>E100*'Portfólio — Margem Real'!$C$5</f>
        <v>34.799999999999997</v>
      </c>
      <c r="G100" s="42"/>
    </row>
    <row r="101" spans="1:7" ht="18" customHeight="1" x14ac:dyDescent="0.25">
      <c r="A101" s="43" t="s">
        <v>222</v>
      </c>
      <c r="B101" s="44" t="s">
        <v>223</v>
      </c>
      <c r="C101" s="45" t="s">
        <v>93</v>
      </c>
      <c r="D101" s="46">
        <v>50</v>
      </c>
      <c r="E101" s="47">
        <f t="shared" si="3"/>
        <v>5</v>
      </c>
      <c r="F101" s="48">
        <f>E101*'Portfólio — Margem Real'!$C$5</f>
        <v>29</v>
      </c>
      <c r="G101" s="49"/>
    </row>
    <row r="102" spans="1:7" ht="18" customHeight="1" x14ac:dyDescent="0.25">
      <c r="A102" s="36" t="s">
        <v>224</v>
      </c>
      <c r="B102" s="37" t="s">
        <v>225</v>
      </c>
      <c r="C102" s="38" t="s">
        <v>97</v>
      </c>
      <c r="D102" s="39">
        <v>75</v>
      </c>
      <c r="E102" s="40">
        <f t="shared" si="3"/>
        <v>7.5</v>
      </c>
      <c r="F102" s="41">
        <f>E102*'Portfólio — Margem Real'!$C$5</f>
        <v>43.5</v>
      </c>
      <c r="G102" s="42"/>
    </row>
    <row r="103" spans="1:7" ht="18" customHeight="1" x14ac:dyDescent="0.25">
      <c r="A103" s="43" t="s">
        <v>226</v>
      </c>
      <c r="B103" s="44" t="s">
        <v>227</v>
      </c>
      <c r="C103" s="45" t="s">
        <v>75</v>
      </c>
      <c r="D103" s="46">
        <v>55</v>
      </c>
      <c r="E103" s="47">
        <f t="shared" si="3"/>
        <v>5.5</v>
      </c>
      <c r="F103" s="48">
        <f>E103*'Portfólio — Margem Real'!$C$5</f>
        <v>31.9</v>
      </c>
      <c r="G103" s="49"/>
    </row>
    <row r="104" spans="1:7" ht="18" customHeight="1" x14ac:dyDescent="0.25">
      <c r="A104" s="36" t="s">
        <v>226</v>
      </c>
      <c r="B104" s="37" t="s">
        <v>228</v>
      </c>
      <c r="C104" s="38" t="s">
        <v>77</v>
      </c>
      <c r="D104" s="39">
        <v>90</v>
      </c>
      <c r="E104" s="40">
        <f t="shared" si="3"/>
        <v>9</v>
      </c>
      <c r="F104" s="41">
        <f>E104*'Portfólio — Margem Real'!$C$5</f>
        <v>52.199999999999996</v>
      </c>
      <c r="G104" s="42"/>
    </row>
    <row r="105" spans="1:7" ht="18" customHeight="1" x14ac:dyDescent="0.25">
      <c r="A105" s="43" t="s">
        <v>229</v>
      </c>
      <c r="B105" s="44" t="s">
        <v>230</v>
      </c>
      <c r="C105" s="45" t="s">
        <v>77</v>
      </c>
      <c r="D105" s="46">
        <v>65</v>
      </c>
      <c r="E105" s="47">
        <f t="shared" si="3"/>
        <v>6.5</v>
      </c>
      <c r="F105" s="48">
        <f>E105*'Portfólio — Margem Real'!$C$5</f>
        <v>37.699999999999996</v>
      </c>
      <c r="G105" s="49"/>
    </row>
    <row r="106" spans="1:7" ht="18" customHeight="1" x14ac:dyDescent="0.25">
      <c r="A106" s="36" t="s">
        <v>231</v>
      </c>
      <c r="B106" s="37" t="s">
        <v>232</v>
      </c>
      <c r="C106" s="38" t="s">
        <v>75</v>
      </c>
      <c r="D106" s="39">
        <v>85</v>
      </c>
      <c r="E106" s="40">
        <f t="shared" si="3"/>
        <v>8.5</v>
      </c>
      <c r="F106" s="41">
        <f>E106*'Portfólio — Margem Real'!$C$5</f>
        <v>49.3</v>
      </c>
      <c r="G106" s="42"/>
    </row>
    <row r="107" spans="1:7" ht="18" customHeight="1" x14ac:dyDescent="0.25">
      <c r="A107" s="43" t="s">
        <v>231</v>
      </c>
      <c r="B107" s="44" t="s">
        <v>233</v>
      </c>
      <c r="C107" s="45" t="s">
        <v>77</v>
      </c>
      <c r="D107" s="46">
        <v>135</v>
      </c>
      <c r="E107" s="47">
        <f t="shared" si="3"/>
        <v>13.5</v>
      </c>
      <c r="F107" s="48">
        <f>E107*'Portfólio — Margem Real'!$C$5</f>
        <v>78.3</v>
      </c>
      <c r="G107" s="49"/>
    </row>
    <row r="108" spans="1:7" ht="18" customHeight="1" x14ac:dyDescent="0.25">
      <c r="A108" s="36" t="s">
        <v>234</v>
      </c>
      <c r="B108" s="37" t="s">
        <v>235</v>
      </c>
      <c r="C108" s="38" t="s">
        <v>77</v>
      </c>
      <c r="D108" s="39">
        <v>60</v>
      </c>
      <c r="E108" s="40">
        <f t="shared" si="3"/>
        <v>6</v>
      </c>
      <c r="F108" s="41">
        <f>E108*'Portfólio — Margem Real'!$C$5</f>
        <v>34.799999999999997</v>
      </c>
      <c r="G108" s="42"/>
    </row>
    <row r="109" spans="1:7" ht="18" customHeight="1" x14ac:dyDescent="0.25">
      <c r="A109" s="43" t="s">
        <v>234</v>
      </c>
      <c r="B109" s="44" t="s">
        <v>236</v>
      </c>
      <c r="C109" s="45" t="s">
        <v>91</v>
      </c>
      <c r="D109" s="46">
        <v>165</v>
      </c>
      <c r="E109" s="47">
        <f t="shared" si="3"/>
        <v>16.5</v>
      </c>
      <c r="F109" s="48">
        <f>E109*'Portfólio — Margem Real'!$C$5</f>
        <v>95.7</v>
      </c>
      <c r="G109" s="49"/>
    </row>
    <row r="110" spans="1:7" ht="18" customHeight="1" x14ac:dyDescent="0.25">
      <c r="A110" s="36" t="s">
        <v>237</v>
      </c>
      <c r="B110" s="37" t="s">
        <v>238</v>
      </c>
      <c r="C110" s="38" t="s">
        <v>77</v>
      </c>
      <c r="D110" s="39">
        <v>280</v>
      </c>
      <c r="E110" s="40">
        <f t="shared" si="3"/>
        <v>28</v>
      </c>
      <c r="F110" s="41">
        <f>E110*'Portfólio — Margem Real'!$C$5</f>
        <v>162.4</v>
      </c>
      <c r="G110" s="42"/>
    </row>
    <row r="111" spans="1:7" ht="18" customHeight="1" x14ac:dyDescent="0.25">
      <c r="A111" s="43" t="s">
        <v>239</v>
      </c>
      <c r="B111" s="44" t="s">
        <v>239</v>
      </c>
      <c r="C111" s="45" t="s">
        <v>75</v>
      </c>
      <c r="D111" s="46">
        <v>80</v>
      </c>
      <c r="E111" s="47">
        <f t="shared" si="3"/>
        <v>8</v>
      </c>
      <c r="F111" s="48">
        <f>E111*'Portfólio — Margem Real'!$C$5</f>
        <v>46.4</v>
      </c>
      <c r="G111" s="49"/>
    </row>
    <row r="112" spans="1:7" ht="18" customHeight="1" x14ac:dyDescent="0.25">
      <c r="A112" s="36" t="s">
        <v>240</v>
      </c>
      <c r="B112" s="37" t="s">
        <v>241</v>
      </c>
      <c r="C112" s="38" t="s">
        <v>77</v>
      </c>
      <c r="D112" s="39">
        <v>60</v>
      </c>
      <c r="E112" s="40">
        <f t="shared" si="3"/>
        <v>6</v>
      </c>
      <c r="F112" s="41">
        <f>E112*'Portfólio — Margem Real'!$C$5</f>
        <v>34.799999999999997</v>
      </c>
      <c r="G112" s="42"/>
    </row>
    <row r="113" spans="1:7" ht="18" customHeight="1" x14ac:dyDescent="0.25">
      <c r="A113" s="43" t="s">
        <v>242</v>
      </c>
      <c r="B113" s="44" t="s">
        <v>243</v>
      </c>
      <c r="C113" s="45" t="s">
        <v>73</v>
      </c>
      <c r="D113" s="46">
        <v>55</v>
      </c>
      <c r="E113" s="47">
        <f t="shared" si="3"/>
        <v>5.5</v>
      </c>
      <c r="F113" s="48">
        <f>E113*'Portfólio — Margem Real'!$C$5</f>
        <v>31.9</v>
      </c>
      <c r="G113" s="49"/>
    </row>
    <row r="114" spans="1:7" ht="18" customHeight="1" x14ac:dyDescent="0.25">
      <c r="A114" s="36" t="s">
        <v>242</v>
      </c>
      <c r="B114" s="37" t="s">
        <v>244</v>
      </c>
      <c r="C114" s="38" t="s">
        <v>75</v>
      </c>
      <c r="D114" s="39">
        <v>90</v>
      </c>
      <c r="E114" s="40">
        <f t="shared" si="3"/>
        <v>9</v>
      </c>
      <c r="F114" s="41">
        <f>E114*'Portfólio — Margem Real'!$C$5</f>
        <v>52.199999999999996</v>
      </c>
      <c r="G114" s="42"/>
    </row>
    <row r="115" spans="1:7" ht="18" customHeight="1" x14ac:dyDescent="0.25">
      <c r="A115" s="43" t="s">
        <v>242</v>
      </c>
      <c r="B115" s="44" t="s">
        <v>245</v>
      </c>
      <c r="C115" s="45" t="s">
        <v>77</v>
      </c>
      <c r="D115" s="46">
        <v>150</v>
      </c>
      <c r="E115" s="47">
        <f t="shared" si="3"/>
        <v>15</v>
      </c>
      <c r="F115" s="48">
        <f>E115*'Portfólio — Margem Real'!$C$5</f>
        <v>87</v>
      </c>
      <c r="G115" s="49"/>
    </row>
    <row r="116" spans="1:7" ht="18" customHeight="1" x14ac:dyDescent="0.25">
      <c r="A116" s="36" t="s">
        <v>246</v>
      </c>
      <c r="B116" s="37" t="s">
        <v>247</v>
      </c>
      <c r="C116" s="38" t="s">
        <v>75</v>
      </c>
      <c r="D116" s="39">
        <v>55</v>
      </c>
      <c r="E116" s="40">
        <f t="shared" si="3"/>
        <v>5.5</v>
      </c>
      <c r="F116" s="41">
        <f>E116*'Portfólio — Margem Real'!$C$5</f>
        <v>31.9</v>
      </c>
      <c r="G116" s="42"/>
    </row>
    <row r="117" spans="1:7" ht="18" customHeight="1" x14ac:dyDescent="0.25">
      <c r="A117" s="43" t="s">
        <v>248</v>
      </c>
      <c r="B117" s="44" t="s">
        <v>249</v>
      </c>
      <c r="C117" s="45" t="s">
        <v>250</v>
      </c>
      <c r="D117" s="46">
        <v>90</v>
      </c>
      <c r="E117" s="47">
        <f t="shared" si="3"/>
        <v>9</v>
      </c>
      <c r="F117" s="48">
        <f>E117*'Portfólio — Margem Real'!$C$5</f>
        <v>52.199999999999996</v>
      </c>
      <c r="G117" s="49"/>
    </row>
    <row r="118" spans="1:7" ht="18" customHeight="1" x14ac:dyDescent="0.25">
      <c r="A118" s="36" t="s">
        <v>251</v>
      </c>
      <c r="B118" s="37" t="s">
        <v>252</v>
      </c>
      <c r="C118" s="38" t="s">
        <v>75</v>
      </c>
      <c r="D118" s="39">
        <v>60</v>
      </c>
      <c r="E118" s="40">
        <f t="shared" si="3"/>
        <v>6</v>
      </c>
      <c r="F118" s="41">
        <f>E118*'Portfólio — Margem Real'!$C$5</f>
        <v>34.799999999999997</v>
      </c>
      <c r="G118" s="42"/>
    </row>
    <row r="119" spans="1:7" ht="18" customHeight="1" x14ac:dyDescent="0.25">
      <c r="A119" s="43" t="s">
        <v>251</v>
      </c>
      <c r="B119" s="44" t="s">
        <v>253</v>
      </c>
      <c r="C119" s="45" t="s">
        <v>77</v>
      </c>
      <c r="D119" s="46">
        <v>100</v>
      </c>
      <c r="E119" s="47">
        <f t="shared" si="3"/>
        <v>10</v>
      </c>
      <c r="F119" s="48">
        <f>E119*'Portfólio — Margem Real'!$C$5</f>
        <v>58</v>
      </c>
      <c r="G119" s="49"/>
    </row>
    <row r="120" spans="1:7" ht="18" customHeight="1" x14ac:dyDescent="0.25">
      <c r="A120" s="36" t="s">
        <v>251</v>
      </c>
      <c r="B120" s="37" t="s">
        <v>254</v>
      </c>
      <c r="C120" s="38" t="s">
        <v>93</v>
      </c>
      <c r="D120" s="39">
        <v>150</v>
      </c>
      <c r="E120" s="40">
        <f t="shared" si="3"/>
        <v>15</v>
      </c>
      <c r="F120" s="41">
        <f>E120*'Portfólio — Margem Real'!$C$5</f>
        <v>87</v>
      </c>
      <c r="G120" s="42"/>
    </row>
    <row r="121" spans="1:7" ht="18" customHeight="1" x14ac:dyDescent="0.25">
      <c r="A121" s="43" t="s">
        <v>255</v>
      </c>
      <c r="B121" s="44" t="s">
        <v>256</v>
      </c>
      <c r="C121" s="45" t="s">
        <v>75</v>
      </c>
      <c r="D121" s="46">
        <v>100</v>
      </c>
      <c r="E121" s="47">
        <f t="shared" si="3"/>
        <v>10</v>
      </c>
      <c r="F121" s="48">
        <f>E121*'Portfólio — Margem Real'!$C$5</f>
        <v>58</v>
      </c>
      <c r="G121" s="49"/>
    </row>
    <row r="122" spans="1:7" ht="18" customHeight="1" x14ac:dyDescent="0.25">
      <c r="A122" s="36" t="s">
        <v>255</v>
      </c>
      <c r="B122" s="37" t="s">
        <v>257</v>
      </c>
      <c r="C122" s="38" t="s">
        <v>77</v>
      </c>
      <c r="D122" s="39">
        <v>175</v>
      </c>
      <c r="E122" s="40">
        <f t="shared" si="3"/>
        <v>17.5</v>
      </c>
      <c r="F122" s="41">
        <f>E122*'Portfólio — Margem Real'!$C$5</f>
        <v>101.5</v>
      </c>
      <c r="G122" s="42"/>
    </row>
    <row r="123" spans="1:7" ht="18" customHeight="1" x14ac:dyDescent="0.25">
      <c r="A123" s="43" t="s">
        <v>255</v>
      </c>
      <c r="B123" s="44" t="s">
        <v>258</v>
      </c>
      <c r="C123" s="45" t="s">
        <v>81</v>
      </c>
      <c r="D123" s="46">
        <v>240</v>
      </c>
      <c r="E123" s="47">
        <f t="shared" si="3"/>
        <v>24</v>
      </c>
      <c r="F123" s="48">
        <f>E123*'Portfólio — Margem Real'!$C$5</f>
        <v>139.19999999999999</v>
      </c>
      <c r="G123" s="49"/>
    </row>
    <row r="124" spans="1:7" ht="18" customHeight="1" x14ac:dyDescent="0.25">
      <c r="A124" s="36" t="s">
        <v>259</v>
      </c>
      <c r="B124" s="37" t="s">
        <v>260</v>
      </c>
      <c r="C124" s="38" t="s">
        <v>77</v>
      </c>
      <c r="D124" s="39">
        <v>63</v>
      </c>
      <c r="E124" s="40">
        <f t="shared" si="3"/>
        <v>6.3</v>
      </c>
      <c r="F124" s="41">
        <f>E124*'Portfólio — Margem Real'!$C$5</f>
        <v>36.54</v>
      </c>
      <c r="G124" s="42"/>
    </row>
    <row r="125" spans="1:7" ht="18" customHeight="1" x14ac:dyDescent="0.25">
      <c r="A125" s="50" t="s">
        <v>261</v>
      </c>
      <c r="B125" s="51" t="s">
        <v>55</v>
      </c>
      <c r="C125" s="52" t="s">
        <v>77</v>
      </c>
      <c r="D125" s="53">
        <v>50</v>
      </c>
      <c r="E125" s="54">
        <f t="shared" si="3"/>
        <v>5</v>
      </c>
      <c r="F125" s="55">
        <f>E125*'Portfólio — Margem Real'!$C$5</f>
        <v>29</v>
      </c>
      <c r="G125" s="56" t="s">
        <v>87</v>
      </c>
    </row>
    <row r="126" spans="1:7" ht="18" customHeight="1" x14ac:dyDescent="0.25">
      <c r="A126" s="36" t="s">
        <v>262</v>
      </c>
      <c r="B126" s="37" t="s">
        <v>263</v>
      </c>
      <c r="C126" s="38" t="s">
        <v>75</v>
      </c>
      <c r="D126" s="39">
        <v>100</v>
      </c>
      <c r="E126" s="40">
        <f t="shared" si="3"/>
        <v>10</v>
      </c>
      <c r="F126" s="41">
        <f>E126*'Portfólio — Margem Real'!$C$5</f>
        <v>58</v>
      </c>
      <c r="G126" s="42"/>
    </row>
    <row r="127" spans="1:7" ht="18" customHeight="1" x14ac:dyDescent="0.25">
      <c r="A127" s="43" t="s">
        <v>262</v>
      </c>
      <c r="B127" s="44" t="s">
        <v>264</v>
      </c>
      <c r="C127" s="45" t="s">
        <v>77</v>
      </c>
      <c r="D127" s="46">
        <v>150</v>
      </c>
      <c r="E127" s="47">
        <f t="shared" si="3"/>
        <v>15</v>
      </c>
      <c r="F127" s="48">
        <f>E127*'Portfólio — Margem Real'!$C$5</f>
        <v>87</v>
      </c>
      <c r="G127" s="49"/>
    </row>
    <row r="128" spans="1:7" ht="18" customHeight="1" x14ac:dyDescent="0.25">
      <c r="A128" s="36" t="s">
        <v>265</v>
      </c>
      <c r="B128" s="37" t="s">
        <v>266</v>
      </c>
      <c r="C128" s="38" t="s">
        <v>97</v>
      </c>
      <c r="D128" s="39">
        <v>50</v>
      </c>
      <c r="E128" s="40">
        <f t="shared" si="3"/>
        <v>5</v>
      </c>
      <c r="F128" s="41">
        <f>E128*'Portfólio — Margem Real'!$C$5</f>
        <v>29</v>
      </c>
      <c r="G128" s="42"/>
    </row>
    <row r="129" spans="1:7" ht="18" customHeight="1" x14ac:dyDescent="0.25">
      <c r="A129" s="43" t="s">
        <v>265</v>
      </c>
      <c r="B129" s="44" t="s">
        <v>267</v>
      </c>
      <c r="C129" s="45" t="s">
        <v>268</v>
      </c>
      <c r="D129" s="46">
        <v>90</v>
      </c>
      <c r="E129" s="47">
        <f t="shared" si="3"/>
        <v>9</v>
      </c>
      <c r="F129" s="48">
        <f>E129*'Portfólio — Margem Real'!$C$5</f>
        <v>52.199999999999996</v>
      </c>
      <c r="G129" s="49"/>
    </row>
    <row r="130" spans="1:7" ht="18" customHeight="1" x14ac:dyDescent="0.25">
      <c r="A130" s="36" t="s">
        <v>265</v>
      </c>
      <c r="B130" s="37" t="s">
        <v>269</v>
      </c>
      <c r="C130" s="38" t="s">
        <v>270</v>
      </c>
      <c r="D130" s="39">
        <v>160</v>
      </c>
      <c r="E130" s="40">
        <f t="shared" si="3"/>
        <v>16</v>
      </c>
      <c r="F130" s="41">
        <f>E130*'Portfólio — Margem Real'!$C$5</f>
        <v>92.8</v>
      </c>
      <c r="G130" s="42"/>
    </row>
    <row r="131" spans="1:7" ht="18" customHeight="1" x14ac:dyDescent="0.25">
      <c r="A131" s="50" t="s">
        <v>271</v>
      </c>
      <c r="B131" s="51" t="s">
        <v>53</v>
      </c>
      <c r="C131" s="52" t="s">
        <v>272</v>
      </c>
      <c r="D131" s="53">
        <v>180</v>
      </c>
      <c r="E131" s="54">
        <f t="shared" si="3"/>
        <v>18</v>
      </c>
      <c r="F131" s="55">
        <f>E131*'Portfólio — Margem Real'!$C$5</f>
        <v>104.39999999999999</v>
      </c>
      <c r="G131" s="56" t="s">
        <v>87</v>
      </c>
    </row>
    <row r="132" spans="1:7" ht="18" customHeight="1" x14ac:dyDescent="0.25">
      <c r="A132" s="36" t="s">
        <v>273</v>
      </c>
      <c r="B132" s="37" t="s">
        <v>274</v>
      </c>
      <c r="C132" s="38" t="s">
        <v>77</v>
      </c>
      <c r="D132" s="39">
        <v>260</v>
      </c>
      <c r="E132" s="40">
        <f t="shared" ref="E132:E145" si="4">D132/10</f>
        <v>26</v>
      </c>
      <c r="F132" s="41">
        <f>E132*'Portfólio — Margem Real'!$C$5</f>
        <v>150.79999999999998</v>
      </c>
      <c r="G132" s="42"/>
    </row>
    <row r="133" spans="1:7" ht="18" customHeight="1" x14ac:dyDescent="0.25">
      <c r="A133" s="43" t="s">
        <v>275</v>
      </c>
      <c r="B133" s="44" t="s">
        <v>276</v>
      </c>
      <c r="C133" s="45" t="s">
        <v>77</v>
      </c>
      <c r="D133" s="46">
        <v>150</v>
      </c>
      <c r="E133" s="47">
        <f t="shared" si="4"/>
        <v>15</v>
      </c>
      <c r="F133" s="48">
        <f>E133*'Portfólio — Margem Real'!$C$5</f>
        <v>87</v>
      </c>
      <c r="G133" s="49"/>
    </row>
    <row r="134" spans="1:7" ht="18" customHeight="1" x14ac:dyDescent="0.25">
      <c r="A134" s="36" t="s">
        <v>277</v>
      </c>
      <c r="B134" s="37" t="s">
        <v>278</v>
      </c>
      <c r="C134" s="38" t="s">
        <v>77</v>
      </c>
      <c r="D134" s="39">
        <v>170</v>
      </c>
      <c r="E134" s="40">
        <f t="shared" si="4"/>
        <v>17</v>
      </c>
      <c r="F134" s="41">
        <f>E134*'Portfólio — Margem Real'!$C$5</f>
        <v>98.6</v>
      </c>
      <c r="G134" s="42"/>
    </row>
    <row r="135" spans="1:7" ht="18" customHeight="1" x14ac:dyDescent="0.25">
      <c r="A135" s="43" t="s">
        <v>279</v>
      </c>
      <c r="B135" s="44" t="s">
        <v>280</v>
      </c>
      <c r="C135" s="45" t="s">
        <v>75</v>
      </c>
      <c r="D135" s="46">
        <v>100</v>
      </c>
      <c r="E135" s="47">
        <f t="shared" si="4"/>
        <v>10</v>
      </c>
      <c r="F135" s="48">
        <f>E135*'Portfólio — Margem Real'!$C$5</f>
        <v>58</v>
      </c>
      <c r="G135" s="49"/>
    </row>
    <row r="136" spans="1:7" ht="18" customHeight="1" x14ac:dyDescent="0.25">
      <c r="A136" s="36" t="s">
        <v>279</v>
      </c>
      <c r="B136" s="37" t="s">
        <v>281</v>
      </c>
      <c r="C136" s="38" t="s">
        <v>77</v>
      </c>
      <c r="D136" s="39">
        <v>150</v>
      </c>
      <c r="E136" s="40">
        <f t="shared" si="4"/>
        <v>15</v>
      </c>
      <c r="F136" s="41">
        <f>E136*'Portfólio — Margem Real'!$C$5</f>
        <v>87</v>
      </c>
      <c r="G136" s="42"/>
    </row>
    <row r="137" spans="1:7" ht="18" customHeight="1" x14ac:dyDescent="0.25">
      <c r="A137" s="43" t="s">
        <v>282</v>
      </c>
      <c r="B137" s="44" t="s">
        <v>283</v>
      </c>
      <c r="C137" s="45" t="s">
        <v>75</v>
      </c>
      <c r="D137" s="46">
        <v>45</v>
      </c>
      <c r="E137" s="47">
        <f t="shared" si="4"/>
        <v>4.5</v>
      </c>
      <c r="F137" s="48">
        <f>E137*'Portfólio — Margem Real'!$C$5</f>
        <v>26.099999999999998</v>
      </c>
      <c r="G137" s="49"/>
    </row>
    <row r="138" spans="1:7" ht="18" customHeight="1" x14ac:dyDescent="0.25">
      <c r="A138" s="36" t="s">
        <v>282</v>
      </c>
      <c r="B138" s="37" t="s">
        <v>284</v>
      </c>
      <c r="C138" s="38" t="s">
        <v>77</v>
      </c>
      <c r="D138" s="39">
        <v>65</v>
      </c>
      <c r="E138" s="40">
        <f t="shared" si="4"/>
        <v>6.5</v>
      </c>
      <c r="F138" s="41">
        <f>E138*'Portfólio — Margem Real'!$C$5</f>
        <v>37.699999999999996</v>
      </c>
      <c r="G138" s="42"/>
    </row>
    <row r="139" spans="1:7" ht="18" customHeight="1" x14ac:dyDescent="0.25">
      <c r="A139" s="43" t="s">
        <v>285</v>
      </c>
      <c r="B139" s="44" t="s">
        <v>286</v>
      </c>
      <c r="C139" s="45" t="s">
        <v>77</v>
      </c>
      <c r="D139" s="46">
        <v>100</v>
      </c>
      <c r="E139" s="47">
        <f t="shared" si="4"/>
        <v>10</v>
      </c>
      <c r="F139" s="48">
        <f>E139*'Portfólio — Margem Real'!$C$5</f>
        <v>58</v>
      </c>
      <c r="G139" s="49"/>
    </row>
    <row r="140" spans="1:7" ht="18" customHeight="1" x14ac:dyDescent="0.25">
      <c r="A140" s="36" t="s">
        <v>287</v>
      </c>
      <c r="B140" s="37" t="s">
        <v>288</v>
      </c>
      <c r="C140" s="38" t="s">
        <v>75</v>
      </c>
      <c r="D140" s="39">
        <v>80</v>
      </c>
      <c r="E140" s="40">
        <f t="shared" si="4"/>
        <v>8</v>
      </c>
      <c r="F140" s="41">
        <f>E140*'Portfólio — Margem Real'!$C$5</f>
        <v>46.4</v>
      </c>
      <c r="G140" s="42"/>
    </row>
    <row r="141" spans="1:7" ht="18" customHeight="1" x14ac:dyDescent="0.25">
      <c r="A141" s="43" t="s">
        <v>289</v>
      </c>
      <c r="B141" s="44" t="s">
        <v>290</v>
      </c>
      <c r="C141" s="45" t="s">
        <v>291</v>
      </c>
      <c r="D141" s="46">
        <v>190</v>
      </c>
      <c r="E141" s="47">
        <f t="shared" si="4"/>
        <v>19</v>
      </c>
      <c r="F141" s="48">
        <f>E141*'Portfólio — Margem Real'!$C$5</f>
        <v>110.2</v>
      </c>
      <c r="G141" s="49"/>
    </row>
    <row r="142" spans="1:7" ht="18" customHeight="1" x14ac:dyDescent="0.25">
      <c r="A142" s="36" t="s">
        <v>292</v>
      </c>
      <c r="B142" s="37" t="s">
        <v>293</v>
      </c>
      <c r="C142" s="38" t="s">
        <v>75</v>
      </c>
      <c r="D142" s="39">
        <v>75</v>
      </c>
      <c r="E142" s="40">
        <f t="shared" si="4"/>
        <v>7.5</v>
      </c>
      <c r="F142" s="41">
        <f>E142*'Portfólio — Margem Real'!$C$5</f>
        <v>43.5</v>
      </c>
      <c r="G142" s="42"/>
    </row>
    <row r="143" spans="1:7" ht="18" customHeight="1" x14ac:dyDescent="0.25">
      <c r="A143" s="43" t="s">
        <v>292</v>
      </c>
      <c r="B143" s="44" t="s">
        <v>294</v>
      </c>
      <c r="C143" s="45" t="s">
        <v>77</v>
      </c>
      <c r="D143" s="46">
        <v>120</v>
      </c>
      <c r="E143" s="47">
        <f t="shared" si="4"/>
        <v>12</v>
      </c>
      <c r="F143" s="48">
        <f>E143*'Portfólio — Margem Real'!$C$5</f>
        <v>69.599999999999994</v>
      </c>
      <c r="G143" s="49"/>
    </row>
    <row r="144" spans="1:7" ht="18" customHeight="1" x14ac:dyDescent="0.25">
      <c r="A144" s="36" t="s">
        <v>292</v>
      </c>
      <c r="B144" s="37" t="s">
        <v>295</v>
      </c>
      <c r="C144" s="38" t="s">
        <v>83</v>
      </c>
      <c r="D144" s="39">
        <v>180</v>
      </c>
      <c r="E144" s="40">
        <f t="shared" si="4"/>
        <v>18</v>
      </c>
      <c r="F144" s="41">
        <f>E144*'Portfólio — Margem Real'!$C$5</f>
        <v>104.39999999999999</v>
      </c>
      <c r="G144" s="42"/>
    </row>
    <row r="145" spans="1:7" x14ac:dyDescent="0.25">
      <c r="A145" s="36" t="s">
        <v>297</v>
      </c>
      <c r="B145" s="37" t="s">
        <v>298</v>
      </c>
      <c r="C145" s="38" t="s">
        <v>299</v>
      </c>
      <c r="D145" s="39">
        <v>15</v>
      </c>
      <c r="E145" s="40">
        <f t="shared" si="4"/>
        <v>1.5</v>
      </c>
      <c r="F145" s="41">
        <f>E145*'Portfólio — Margem Real'!$C$5</f>
        <v>8.6999999999999993</v>
      </c>
      <c r="G145" s="42"/>
    </row>
    <row r="146" spans="1:7" x14ac:dyDescent="0.25">
      <c r="A146" s="36" t="s">
        <v>297</v>
      </c>
      <c r="B146" s="37" t="s">
        <v>301</v>
      </c>
      <c r="C146" s="38" t="s">
        <v>300</v>
      </c>
      <c r="D146" s="39">
        <v>10</v>
      </c>
      <c r="E146" s="40">
        <f t="shared" ref="E146:E147" si="5">D146/10</f>
        <v>1</v>
      </c>
      <c r="F146" s="41">
        <f>E146*'Portfólio — Margem Real'!$C$5</f>
        <v>5.8</v>
      </c>
      <c r="G146" s="42"/>
    </row>
    <row r="147" spans="1:7" ht="15" customHeight="1" x14ac:dyDescent="0.25">
      <c r="A147" s="36" t="s">
        <v>302</v>
      </c>
      <c r="B147" s="37" t="s">
        <v>303</v>
      </c>
      <c r="C147" s="38" t="s">
        <v>299</v>
      </c>
      <c r="D147" s="39">
        <v>15</v>
      </c>
      <c r="E147" s="40">
        <f t="shared" si="5"/>
        <v>1.5</v>
      </c>
      <c r="F147" s="41">
        <f>E147*'Portfólio — Margem Real'!$C$5</f>
        <v>8.6999999999999993</v>
      </c>
      <c r="G147" s="42"/>
    </row>
    <row r="148" spans="1:7" ht="15" customHeight="1" x14ac:dyDescent="0.25">
      <c r="A148" s="36" t="s">
        <v>302</v>
      </c>
      <c r="B148" s="37" t="s">
        <v>304</v>
      </c>
      <c r="C148" s="38" t="s">
        <v>300</v>
      </c>
      <c r="D148" s="39">
        <v>10</v>
      </c>
      <c r="E148" s="40">
        <f t="shared" ref="E148" si="6">D148/10</f>
        <v>1</v>
      </c>
      <c r="F148" s="41">
        <f>E148*'Portfólio — Margem Real'!$C$5</f>
        <v>5.8</v>
      </c>
      <c r="G148" s="42"/>
    </row>
  </sheetData>
  <autoFilter ref="A3:G144" xr:uid="{00000000-0001-0000-0200-000000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Modelo de Pedido</vt:lpstr>
      <vt:lpstr>Portfólio — Margem Real</vt:lpstr>
      <vt:lpstr>Catálogo Adina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Leonardo Santiago Barros dos Santos</cp:lastModifiedBy>
  <cp:revision>0</cp:revision>
  <dcterms:created xsi:type="dcterms:W3CDTF">2026-02-20T19:00:39Z</dcterms:created>
  <dcterms:modified xsi:type="dcterms:W3CDTF">2026-02-24T00:46:12Z</dcterms:modified>
  <dc:language>en-US</dc:language>
</cp:coreProperties>
</file>